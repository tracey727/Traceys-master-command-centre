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f45c31d4e40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0e32fe16d23484d"/>
    <x:sheet xmlns:r="http://schemas.openxmlformats.org/officeDocument/2006/relationships" name="Project Status" sheetId="2" r:id="R362098fba1084571"/>
    <x:sheet xmlns:r="http://schemas.openxmlformats.org/officeDocument/2006/relationships" name="Launch Tasks" sheetId="3" r:id="R58b0f5240b454dd2"/>
    <x:sheet xmlns:r="http://schemas.openxmlformats.org/officeDocument/2006/relationships" name="Product Register" sheetId="4" r:id="R08a2a6b5cc114716"/>
    <x:sheet xmlns:r="http://schemas.openxmlformats.org/officeDocument/2006/relationships" name="IP Assets" sheetId="5" r:id="Rf67fa90c39c540ff"/>
    <x:sheet xmlns:r="http://schemas.openxmlformats.org/officeDocument/2006/relationships" name="Licensing" sheetId="6" r:id="Rc13c221ab6504edc"/>
    <x:sheet xmlns:r="http://schemas.openxmlformats.org/officeDocument/2006/relationships" name="Subscriptions" sheetId="7" r:id="R3051086098d54989"/>
    <x:sheet xmlns:r="http://schemas.openxmlformats.org/officeDocument/2006/relationships" name="Test Cases" sheetId="8" r:id="Rfce8c52e18be4c5d"/>
    <x:sheet xmlns:r="http://schemas.openxmlformats.org/officeDocument/2006/relationships" name="Decisions" sheetId="9" r:id="Rf97eccfb6a8d414e"/>
    <x:sheet xmlns:r="http://schemas.openxmlformats.org/officeDocument/2006/relationships" name="Sources" sheetId="10" r:id="Rdbc3d769a4e342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A$&quot;#,##0.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42D1B"/>
      <x:name val="Carlito"/>
    </x:font>
    <x:font>
      <x:b/>
      <x:sz val="13"/>
      <x:color rgb="FF000000"/>
      <x:name val="Carlito"/>
    </x:font>
    <x:font>
      <x:b/>
      <x:sz val="12"/>
      <x:color rgb="FF042D1B"/>
      <x:name val="Carlito"/>
    </x:font>
    <x:font>
      <x:b/>
      <x:sz val="24"/>
      <x:color rgb="FFFFFFFF"/>
      <x:name val="Carlito"/>
    </x:font>
    <x:font>
      <x:b/>
      <x:sz val="9"/>
      <x:color rgb="FFFFFFFF"/>
      <x:name val="Carlito"/>
    </x:font>
    <x:font>
      <x:b/>
      <x:sz val="24"/>
      <x:color rgb="FF000000"/>
      <x:name val="Carlito"/>
    </x:font>
    <x:font>
      <x:b/>
      <x:sz val="12"/>
      <x:color rgb="FFFFFFFF"/>
      <x:name val="Carlito"/>
    </x:font>
    <x:font>
      <x:sz val="9"/>
      <x:color rgb="FF17291F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b/>
      <x:sz val="10"/>
      <x:color rgb="FFFFFFFF"/>
      <x:name val="Carlito"/>
    </x:font>
    <x:font>
      <x:b/>
      <x:sz val="11"/>
      <x:color rgb="FF042D1B"/>
      <x:name val="Carlito"/>
    </x:font>
    <x:font>
      <x:sz val="9"/>
      <x:color rgb="FF1155CC"/>
      <x:name val="Carlito"/>
    </x:font>
    <x:font>
      <x:i/>
      <x:sz val="9"/>
      <x:color rgb="FF667085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42D1B"/>
      </x:patternFill>
    </x:fill>
    <x:fill>
      <x:patternFill patternType="solid">
        <x:fgColor rgb="FFE6F3E8"/>
      </x:patternFill>
    </x:fill>
    <x:fill>
      <x:patternFill patternType="solid">
        <x:fgColor rgb="FFC9A227"/>
      </x:patternFill>
    </x:fill>
    <x:fill>
      <x:patternFill patternType="solid">
        <x:fgColor rgb="FFFFF7D6"/>
      </x:patternFill>
    </x:fill>
    <x:fill>
      <x:patternFill patternType="solid">
        <x:fgColor rgb="FF00A651"/>
      </x:patternFill>
    </x:fill>
    <x:fill>
      <x:patternFill patternType="solid">
        <x:fgColor rgb="FFFFE100"/>
      </x:patternFill>
    </x:fill>
    <x:fill>
      <x:patternFill patternType="solid">
        <x:fgColor rgb="FFFF9500"/>
      </x:patternFill>
    </x:fill>
    <x:fill>
      <x:patternFill patternType="solid">
        <x:fgColor rgb="FFF10B0B"/>
      </x:patternFill>
    </x:fill>
    <x:fill>
      <x:patternFill patternType="solid">
        <x:fgColor rgb="FF0B6B3A"/>
      </x:patternFill>
    </x:fill>
    <x:fill>
      <x:patternFill patternType="solid">
        <x:fgColor rgb="FF000000"/>
      </x:patternFill>
    </x:fill>
    <x:fill>
      <x:patternFill patternType="solid">
        <x:fgColor rgb="FFEEF2F0"/>
      </x:patternFill>
    </x:fill>
  </x:fills>
  <x:borders count="2">
    <x:border/>
    <x:border/>
  </x:borders>
  <x:cellStyleXfs count="1">
    <x:xf numFmtId="0" fontId="0" fillId="0" borderId="0"/>
  </x:cellStyleXfs>
  <x:cellXfs count="18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0" fontId="7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7" fillId="7" borderId="1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horizont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5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5" fillId="9" borderId="1" xfId="0" applyNumberFormat="1" applyFont="1" applyFill="1" applyBorder="1"/>
    <x:xf numFmtId="0" fontId="5" fillId="9" borderId="1" xfId="0" applyNumberFormat="1" applyFont="1" applyFill="1" applyBorder="1" applyAlignment="1">
      <x:alignment horizontal="center"/>
    </x:xf>
    <x:xf numFmtId="0" fontId="5" fillId="9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horizontal="center"/>
    </x:xf>
    <x:xf numFmtId="0" fontId="5" fillId="10" borderId="0" xfId="0" applyNumberFormat="1" applyFont="1" applyFill="1" applyBorder="1" applyAlignment="1">
      <x:alignment horizontal="center" vertical="center"/>
    </x:xf>
    <x:xf numFmtId="0" fontId="0" fillId="10" borderId="1" xfId="0" applyNumberFormat="1" applyFont="1" applyFill="1" applyBorder="1"/>
    <x:xf numFmtId="0" fontId="5" fillId="10" borderId="1" xfId="0" applyNumberFormat="1" applyFont="1" applyFill="1" applyBorder="1"/>
    <x:xf numFmtId="0" fontId="5" fillId="10" borderId="1" xfId="0" applyNumberFormat="1" applyFont="1" applyFill="1" applyBorder="1" applyAlignment="1">
      <x:alignment horizontal="center"/>
    </x:xf>
    <x:xf numFmtId="0" fontId="5" fillId="10" borderId="1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/>
    <x:xf numFmtId="0" fontId="8" fillId="9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horizont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10" fillId="10" borderId="0" xfId="0" applyNumberFormat="1" applyFont="1" applyFill="1" applyBorder="1"/>
    <x:xf numFmtId="0" fontId="10" fillId="10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10" fillId="6" borderId="0" xfId="0" applyNumberFormat="1" applyFont="1" applyFill="1" applyBorder="1" applyAlignment="1">
      <x:alignment horizontal="center" wrapText="1"/>
    </x:xf>
    <x:xf numFmtId="0" fontId="10" fillId="6" borderId="0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0" fontId="10" fillId="6" borderId="1" xfId="0" applyNumberFormat="1" applyFont="1" applyFill="1" applyBorder="1" applyAlignment="1">
      <x:alignment horizontal="center" wrapText="1"/>
    </x:xf>
    <x:xf numFmtId="0" fontId="10" fillId="6" borderId="1" xfId="0" applyNumberFormat="1" applyFont="1" applyFill="1" applyBorder="1" applyAlignment="1">
      <x:alignment horizontal="center" vertical="center" wrapText="1"/>
    </x:xf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horizontal="center" wrapText="1"/>
    </x:xf>
    <x:xf numFmtId="0" fontId="11" fillId="8" borderId="0" xfId="0" applyNumberFormat="1" applyFont="1" applyFill="1" applyBorder="1" applyAlignment="1">
      <x:alignment horizontal="center" vertical="center" wrapText="1"/>
    </x:xf>
    <x:xf numFmtId="0" fontId="11" fillId="8" borderId="1" xfId="0" applyNumberFormat="1" applyFont="1" applyFill="1" applyBorder="1"/>
    <x:xf numFmtId="0" fontId="11" fillId="8" borderId="1" xfId="0" applyNumberFormat="1" applyFont="1" applyFill="1" applyBorder="1" applyAlignment="1">
      <x:alignment wrapText="1"/>
    </x:xf>
    <x:xf numFmtId="0" fontId="11" fillId="8" borderId="1" xfId="0" applyNumberFormat="1" applyFont="1" applyFill="1" applyBorder="1" applyAlignment="1">
      <x:alignment horizontal="center" wrapText="1"/>
    </x:xf>
    <x:xf numFmtId="0" fontId="11" fillId="8" borderId="1" xfId="0" applyNumberFormat="1" applyFont="1" applyFill="1" applyBorder="1" applyAlignment="1">
      <x:alignment horizontal="center" vertical="center" wrapText="1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horizontal="center" wrapText="1"/>
    </x:xf>
    <x:xf numFmtId="0" fontId="11" fillId="7" borderId="0" xfId="0" applyNumberFormat="1" applyFont="1" applyFill="1" applyBorder="1" applyAlignment="1">
      <x:alignment horizontal="center" vertical="center" wrapText="1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wrapText="1"/>
    </x:xf>
    <x:xf numFmtId="0" fontId="11" fillId="7" borderId="1" xfId="0" applyNumberFormat="1" applyFont="1" applyFill="1" applyBorder="1" applyAlignment="1">
      <x:alignment horizontal="center" wrapText="1"/>
    </x:xf>
    <x:xf numFmtId="0" fontId="11" fillId="7" borderId="1" xfId="0" applyNumberFormat="1" applyFont="1" applyFill="1" applyBorder="1" applyAlignment="1">
      <x:alignment horizontal="center" vertical="center" wrapText="1"/>
    </x:xf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center" wrapText="1"/>
    </x:xf>
    <x:xf numFmtId="0" fontId="10" fillId="9" borderId="0" xfId="0" applyNumberFormat="1" applyFont="1" applyFill="1" applyBorder="1" applyAlignment="1">
      <x:alignment horizontal="center" vertical="center" wrapText="1"/>
    </x:xf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horizontal="center" wrapText="1"/>
    </x:xf>
    <x:xf numFmtId="0" fontId="10" fillId="9" borderId="1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wrapText="1"/>
    </x:xf>
    <x:xf numFmtId="0" fontId="10" fillId="11" borderId="0" xfId="0" applyNumberFormat="1" applyFont="1" applyFill="1" applyBorder="1" applyAlignment="1">
      <x:alignment horizontal="center" wrapText="1"/>
    </x:xf>
    <x:xf numFmtId="0" fontId="10" fillId="11" borderId="0" xfId="0" applyNumberFormat="1" applyFont="1" applyFill="1" applyBorder="1" applyAlignment="1">
      <x:alignment horizontal="center" vertical="center" wrapText="1"/>
    </x:xf>
    <x:xf numFmtId="0" fontId="0" fillId="11" borderId="1" xfId="0" applyNumberFormat="1" applyFont="1" applyFill="1" applyBorder="1"/>
    <x:xf numFmtId="0" fontId="10" fillId="11" borderId="1" xfId="0" applyNumberFormat="1" applyFont="1" applyFill="1" applyBorder="1"/>
    <x:xf numFmtId="0" fontId="10" fillId="11" borderId="1" xfId="0" applyNumberFormat="1" applyFont="1" applyFill="1" applyBorder="1" applyAlignment="1">
      <x:alignment wrapText="1"/>
    </x:xf>
    <x:xf numFmtId="0" fontId="10" fillId="11" borderId="1" xfId="0" applyNumberFormat="1" applyFont="1" applyFill="1" applyBorder="1" applyAlignment="1">
      <x:alignment horizontal="center" wrapText="1"/>
    </x:xf>
    <x:xf numFmtId="0" fontId="10" fillId="11" borderId="1" xfId="0" applyNumberFormat="1" applyFont="1" applyFill="1" applyBorder="1" applyAlignment="1">
      <x:alignment horizontal="center" vertical="center" wrapText="1"/>
    </x:xf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horizontal="center" wrapText="1"/>
    </x:xf>
    <x:xf numFmtId="0" fontId="11" fillId="4" borderId="0" xfId="0" applyNumberFormat="1" applyFont="1" applyFill="1" applyBorder="1" applyAlignment="1">
      <x:alignment horizontal="center"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horizontal="center" wrapText="1"/>
    </x:xf>
    <x:xf numFmtId="0" fontId="11" fillId="4" borderId="1" xfId="0" applyNumberFormat="1" applyFont="1" applyFill="1" applyBorder="1" applyAlignment="1">
      <x:alignment horizontal="center" vertical="center" wrapText="1"/>
    </x:xf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horizontal="center" wrapText="1"/>
    </x:xf>
    <x:xf numFmtId="0" fontId="12" fillId="10" borderId="0" xfId="0" applyNumberFormat="1" applyFont="1" applyFill="1" applyBorder="1" applyAlignment="1">
      <x:alignment horizontal="center" vertical="center" wrapText="1"/>
    </x:xf>
    <x:xf numFmtId="0" fontId="12" fillId="10" borderId="1" xfId="0" applyNumberFormat="1" applyFont="1" applyFill="1" applyBorder="1"/>
    <x:xf numFmtId="0" fontId="12" fillId="10" borderId="1" xfId="0" applyNumberFormat="1" applyFont="1" applyFill="1" applyBorder="1" applyAlignment="1">
      <x:alignment wrapText="1"/>
    </x:xf>
    <x:xf numFmtId="0" fontId="12" fillId="10" borderId="1" xfId="0" applyNumberFormat="1" applyFont="1" applyFill="1" applyBorder="1" applyAlignment="1">
      <x:alignment horizontal="center" wrapText="1"/>
    </x:xf>
    <x:xf numFmtId="0" fontId="12" fillId="10" borderId="1" xfId="0" applyNumberFormat="1" applyFont="1" applyFill="1" applyBorder="1" applyAlignment="1">
      <x:alignment horizontal="center" vertical="center" wrapText="1"/>
    </x:xf>
    <x:xf numFmtId="200" fontId="9" fillId="0" borderId="0" xfId="0" applyNumberFormat="1" applyFont="1" applyFill="1" applyBorder="1" applyAlignment="1">
      <x:alignment vertical="top" wrapText="1"/>
    </x:xf>
    <x:xf numFmtId="200" fontId="9" fillId="0" borderId="1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201" fontId="9" fillId="0" borderId="1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/>
    <x:xf numFmtId="0" fontId="13" fillId="3" borderId="0" xfId="0" applyNumberFormat="1" applyFont="1" applyFill="1" applyBorder="1" applyAlignment="1">
      <x:alignment wrapText="1"/>
    </x:xf>
    <x:xf numFmtId="0" fontId="13" fillId="3" borderId="1" xfId="0" applyNumberFormat="1" applyFont="1" applyFill="1" applyBorder="1"/>
    <x:xf numFmtId="0" fontId="13" fillId="3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15" fillId="12" borderId="0" xfId="0" applyNumberFormat="1" applyFont="1" applyFill="1" applyBorder="1"/>
    <x:xf numFmtId="0" fontId="15" fillId="12" borderId="0" xfId="0" applyNumberFormat="1" applyFont="1" applyFill="1" applyBorder="1" applyAlignment="1">
      <x:alignment wrapText="1"/>
    </x:xf>
    <x:xf numFmtId="0" fontId="15" fillId="1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9" fillId="0" xfId="0" applyNumberFormat="1" applyFont="1" applyFill="1" applyBorder="0" applyAlignment="1">
      <x:alignment vertical="top" wrapText="1"/>
    </x:xf>
    <x:xf numFmtId="0" fontId="9" fillId="0" xfId="0" applyNumberFormat="1" applyFont="1" applyFill="1" applyBorder="0"/>
    <x:xf numFmtId="0" fontId="9" fillId="0" xfId="0" applyNumberFormat="1" applyFont="1" applyFill="1" applyBorder="0" applyAlignment="1">
      <x:alignment wrapText="1"/>
    </x:xf>
    <x:xf numFmtId="0" fontId="9" fillId="0" xfId="0" applyNumberFormat="1" applyFont="1" applyFill="1" applyBorder="0" applyAlignment="1">
      <x:alignment vertical="center" wrapText="1"/>
    </x:xf>
    <x:xf numFmtId="0" fontId="9" fillId="0" xfId="0" applyNumberFormat="1" applyFont="1" applyFill="1" applyBorder="0" applyAlignment="1">
      <x:alignment horizontal="center" vertical="center" wrapText="1"/>
    </x:xf>
  </x:cellXfs>
  <x:cellStyles count="1">
    <x:cellStyle name="Normal" xfId="0"/>
  </x:cellStyles>
  <x:dxfs count="37"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  <x:dxf>
      <x:font>
        <x:b/>
        <x:color rgb="FFFFFFFF"/>
      </x:font>
      <x:fill>
        <x:patternFill>
          <x:bgColor rgb="FF00A651"/>
        </x:patternFill>
      </x:fill>
    </x:dxf>
    <x:dxf>
      <x:font>
        <x:b/>
        <x:color rgb="FF000000"/>
      </x:font>
      <x:fill>
        <x:patternFill>
          <x:bgColor rgb="FFFFE100"/>
        </x:patternFill>
      </x:fill>
    </x:dxf>
    <x:dxf>
      <x:font>
        <x:b/>
        <x:color rgb="FFFFFFFF"/>
      </x:font>
      <x:fill>
        <x:patternFill>
          <x:bgColor rgb="FFF10B0B"/>
        </x:patternFill>
      </x:fill>
    </x:dxf>
    <x:dxf>
      <x:font>
        <x:b/>
        <x:color rgb="FF000000"/>
      </x:font>
      <x:fill>
        <x:patternFill>
          <x:bgColor rgb="FFFF95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e0aebca8d244fb" /><Relationship Type="http://schemas.openxmlformats.org/officeDocument/2006/relationships/theme" Target="/xl/theme/theme1.xml" Id="R7051b46adeb049c3" /><Relationship Type="http://schemas.openxmlformats.org/officeDocument/2006/relationships/sharedStrings" Target="/xl/sharedStrings.xml" Id="R9302a278d784446c" /><Relationship Type="http://schemas.openxmlformats.org/officeDocument/2006/relationships/worksheet" Target="/xl/worksheets/sheet1.xml" Id="R80e32fe16d23484d" /><Relationship Type="http://schemas.openxmlformats.org/officeDocument/2006/relationships/worksheet" Target="/xl/worksheets/sheet2.xml" Id="R362098fba1084571" /><Relationship Type="http://schemas.openxmlformats.org/officeDocument/2006/relationships/worksheet" Target="/xl/worksheets/sheet3.xml" Id="R58b0f5240b454dd2" /><Relationship Type="http://schemas.openxmlformats.org/officeDocument/2006/relationships/worksheet" Target="/xl/worksheets/sheet4.xml" Id="R08a2a6b5cc114716" /><Relationship Type="http://schemas.openxmlformats.org/officeDocument/2006/relationships/worksheet" Target="/xl/worksheets/sheet5.xml" Id="Rf67fa90c39c540ff" /><Relationship Type="http://schemas.openxmlformats.org/officeDocument/2006/relationships/worksheet" Target="/xl/worksheets/sheet6.xml" Id="Rc13c221ab6504edc" /><Relationship Type="http://schemas.openxmlformats.org/officeDocument/2006/relationships/worksheet" Target="/xl/worksheets/sheet7.xml" Id="R3051086098d54989" /><Relationship Type="http://schemas.openxmlformats.org/officeDocument/2006/relationships/worksheet" Target="/xl/worksheets/sheet8.xml" Id="Rfce8c52e18be4c5d" /><Relationship Type="http://schemas.openxmlformats.org/officeDocument/2006/relationships/worksheet" Target="/xl/worksheets/sheet9.xml" Id="Rf97eccfb6a8d414e" /><Relationship Type="http://schemas.openxmlformats.org/officeDocument/2006/relationships/worksheet" Target="/xl/worksheets/sheet10.xml" Id="Rdbc3d769a4e342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a1302c007b2467f" /><Relationship Type="http://schemas.openxmlformats.org/officeDocument/2006/relationships/chart" Target="/xl/drawings/charts/chart2.xml" Id="R01b63ff52862486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Launch Task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'Dashboard'!$N$2:$N$6</c:f>
              <c:strCache>
                <c:ptCount val="0"/>
              </c:strCache>
            </c:strRef>
          </c:cat>
          <c:val>
            <c:numRef>
              <c:f>'Dashboard'!$O$2:$O$6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Ecosystem Work Allocation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'Dashboard'!$Q$2:$Q$5</c:f>
              <c:strCache>
                <c:ptCount val="0"/>
              </c:strCache>
            </c:strRef>
          </c:cat>
          <c:val>
            <c:numRef>
              <c:f>'Dashboard'!$R$2:$R$5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a1302c007b2467f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1b63ff52862486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rojectStatusTable" displayName="ProjectStatusTable" ref="A4:E15" headerRowCount="1">
  <x:tableColumns count="5">
    <x:tableColumn id="1" name="Area"/>
    <x:tableColumn id="2" name="Status"/>
    <x:tableColumn id="3" name="Priority"/>
    <x:tableColumn id="4" name="Current Position"/>
    <x:tableColumn id="5" name="Next Action"/>
  </x:tableColumns>
  <x:tableStyleInfo name="TableStyleMedium2" showRowStripes="1"/>
</x:table>
</file>

<file path=xl/tables/table2.xml><?xml version="1.0" encoding="utf-8"?>
<x:table xmlns:x="http://schemas.openxmlformats.org/spreadsheetml/2006/main" id="2" name="LaunchTasksTable" displayName="LaunchTasksTable" ref="A4:H45" headerRowCount="1">
  <x:tableColumns count="8">
    <x:tableColumn id="1" name="Task ID"/>
    <x:tableColumn id="2" name="Gate"/>
    <x:tableColumn id="3" name="Task"/>
    <x:tableColumn id="4" name="Status"/>
    <x:tableColumn id="5" name="Priority"/>
    <x:tableColumn id="6" name="Owner"/>
    <x:tableColumn id="7" name="Due Date"/>
    <x:tableColumn id="8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ProductRegisterTable" displayName="ProductRegisterTable" ref="A4:F66" headerRowCount="1">
  <x:tableColumns count="6">
    <x:tableColumn id="1" name="Product ID"/>
    <x:tableColumn id="2" name="Product"/>
    <x:tableColumn id="3" name="Division"/>
    <x:tableColumn id="4" name="Description"/>
    <x:tableColumn id="5" name="Status"/>
    <x:tableColumn id="6" name="Next Action"/>
  </x:tableColumns>
  <x:tableStyleInfo name="TableStyleMedium2" showRowStripes="1"/>
</x:table>
</file>

<file path=xl/tables/table4.xml><?xml version="1.0" encoding="utf-8"?>
<x:table xmlns:x="http://schemas.openxmlformats.org/spreadsheetml/2006/main" id="4" name="IPAssetsTable" displayName="IPAssetsTable" ref="A4:F21" headerRowCount="1">
  <x:tableColumns count="6">
    <x:tableColumn id="1" name="Asset ID"/>
    <x:tableColumn id="2" name="Asset"/>
    <x:tableColumn id="3" name="IP Type"/>
    <x:tableColumn id="4" name="Description"/>
    <x:tableColumn id="5" name="Status"/>
    <x:tableColumn id="6" name="Next Action"/>
  </x:tableColumns>
  <x:tableStyleInfo name="TableStyleMedium2" showRowStripes="1"/>
</x:table>
</file>

<file path=xl/tables/table5.xml><?xml version="1.0" encoding="utf-8"?>
<x:table xmlns:x="http://schemas.openxmlformats.org/spreadsheetml/2006/main" id="5" name="LicensingTable" displayName="LicensingTable" ref="A4:F12" headerRowCount="1">
  <x:tableColumns count="6">
    <x:tableColumn id="1" name="Record ID"/>
    <x:tableColumn id="2" name="Item"/>
    <x:tableColumn id="3" name="Scope"/>
    <x:tableColumn id="4" name="Position"/>
    <x:tableColumn id="5" name="Status"/>
    <x:tableColumn id="6" name="Next Action"/>
  </x:tableColumns>
  <x:tableStyleInfo name="TableStyleMedium2" showRowStripes="1"/>
</x:table>
</file>

<file path=xl/tables/table6.xml><?xml version="1.0" encoding="utf-8"?>
<x:table xmlns:x="http://schemas.openxmlformats.org/spreadsheetml/2006/main" id="6" name="SubscriptionsTable" displayName="SubscriptionsTable" ref="A4:I8" headerRowCount="1">
  <x:tableColumns count="9">
    <x:tableColumn id="1" name="Product ID"/>
    <x:tableColumn id="2" name="Plan Name"/>
    <x:tableColumn id="3" name="Target Price AUD"/>
    <x:tableColumn id="4" name="Period"/>
    <x:tableColumn id="5" name="Audience"/>
    <x:tableColumn id="6" name="Trial"/>
    <x:tableColumn id="7" name="Conversion"/>
    <x:tableColumn id="8" name="Store Status"/>
    <x:tableColumn id="9" name="Next Action"/>
  </x:tableColumns>
  <x:tableStyleInfo name="TableStyleMedium2" showRowStripes="1"/>
</x:table>
</file>

<file path=xl/tables/table7.xml><?xml version="1.0" encoding="utf-8"?>
<x:table xmlns:x="http://schemas.openxmlformats.org/spreadsheetml/2006/main" id="7" name="TestCasesTable" displayName="TestCasesTable" ref="A4:F24" headerRowCount="1">
  <x:tableColumns count="6">
    <x:tableColumn id="1" name="Test ID"/>
    <x:tableColumn id="2" name="Priority"/>
    <x:tableColumn id="3" name="Area"/>
    <x:tableColumn id="4" name="Test"/>
    <x:tableColumn id="5" name="Precondition"/>
    <x:tableColumn id="6" name="Expected result"/>
  </x:tableColumns>
  <x:tableStyleInfo name="TableStyleMedium2" showRowStripes="1"/>
</x:table>
</file>

<file path=xl/tables/table8.xml><?xml version="1.0" encoding="utf-8"?>
<x:table xmlns:x="http://schemas.openxmlformats.org/spreadsheetml/2006/main" id="8" name="DecisionsTable" displayName="DecisionsTable" ref="A4:G10" headerRowCount="1">
  <x:tableColumns count="7">
    <x:tableColumn id="1" name="Decision ID"/>
    <x:tableColumn id="2" name="Category"/>
    <x:tableColumn id="3" name="Decision"/>
    <x:tableColumn id="4" name="Reason / Detail"/>
    <x:tableColumn id="5" name="Status"/>
    <x:tableColumn id="6" name="Owner"/>
    <x:tableColumn id="7" name="Decision / Date"/>
  </x:tableColumns>
  <x:tableStyleInfo name="TableStyleMedium2" showRowStripes="1"/>
</x:table>
</file>

<file path=xl/tables/table9.xml><?xml version="1.0" encoding="utf-8"?>
<x:table xmlns:x="http://schemas.openxmlformats.org/spreadsheetml/2006/main" id="9" name="SourcesTable" displayName="SourcesTable" ref="A4:B15" headerRowCount="1">
  <x:tableColumns count="2">
    <x:tableColumn id="1" name="Source"/>
    <x:tableColumn id="2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e6695047c11412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443212fc5740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c24d0eb6b2942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50313454154e3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5c09f2f82040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090c0e635c4f3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160fa5810a445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f6a83cba4ea4de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c1c5e0c31e949a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8d9723e96c742a1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8" hidden="0" customWidth="1"/>
    <x:col min="4" max="4" width="18" hidden="0" customWidth="1"/>
    <x:col min="5" max="5" width="8" hidden="0" customWidth="1"/>
    <x:col min="6" max="6" width="18" hidden="0" customWidth="1"/>
    <x:col min="7" max="7" width="8" hidden="0" customWidth="1"/>
    <x:col min="8" max="8" width="18" hidden="0" customWidth="1"/>
    <x:col min="9" max="9" width="8" hidden="0" customWidth="1"/>
    <x:col min="10" max="10" width="18" hidden="0" customWidth="1"/>
    <x:col min="11" max="11" width="8" hidden="0" customWidth="1"/>
    <x:col min="12" max="12" width="18" hidden="0" customWidth="1"/>
    <x:col min="14" max="14" width="2" hidden="0" customWidth="1"/>
    <x:col min="15" max="15" width="2" hidden="0" customWidth="1"/>
    <x:col min="17" max="17" width="2" hidden="0" customWidth="1"/>
    <x:col min="18" max="18" width="2" hidden="0" customWidth="1"/>
  </x:cols>
  <x:sheetData>
    <x:row r="1" ht="30" customHeight="1">
      <x:c r="A1" s="4" t="str">
        <x:v>GENEVIEVE App™ Dog Park — Launch Control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N1" t="str">
        <x:v>Task Status</x:v>
      </x:c>
      <x:c r="O1" t="str">
        <x:v>Count</x:v>
      </x:c>
      <x:c r="Q1" t="str">
        <x:v>Project Status</x:v>
      </x:c>
      <x:c r="R1" t="str">
        <x:v>Count</x:v>
      </x:c>
    </x:row>
    <x:row r="2" ht="28" customHeight="1">
      <x:c r="A2" s="10" t="str">
        <x:v>Single active priority: complete a stable, legally reviewed, payment-ready, tested Dog Park launch. All other ecosystem products remain recorded but paused.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N2" t="str">
        <x:v>Not Started</x:v>
      </x:c>
      <x:c r="O2" t="n">
        <x:f>COUNTIF('Launch Tasks'!D5:D200,N2)</x:f>
        <x:v>41</x:v>
      </x:c>
      <x:c r="Q2" t="str">
        <x:v>Active</x:v>
      </x:c>
      <x:c r="R2" t="n">
        <x:f>COUNTIF('Project Status'!B5:B100,Q2)</x:f>
        <x:v>1</x:v>
      </x:c>
    </x:row>
    <x:row r="3">
      <x:c r="N3" t="str">
        <x:v>In Progress</x:v>
      </x:c>
      <x:c r="O3" t="n">
        <x:f>COUNTIF('Launch Tasks'!D6:D201,N3)</x:f>
        <x:v>0</x:v>
      </x:c>
      <x:c r="Q3" t="str">
        <x:v>Active support task</x:v>
      </x:c>
      <x:c r="R3" t="n">
        <x:f>COUNTIF('Project Status'!B6:B101,Q3)</x:f>
        <x:v>2</x:v>
      </x:c>
    </x:row>
    <x:row r="4">
      <x:c r="A4" s="16" t="str">
        <x:v>TODAY'S SINGLE FOCUS</x:v>
      </x:c>
      <x:c r="B4" s="16"/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N4" t="str">
        <x:v>Blocked</x:v>
      </x:c>
      <x:c r="O4" t="n">
        <x:f>COUNTIF('Launch Tasks'!D7:D202,N4)</x:f>
        <x:v>0</x:v>
      </x:c>
      <x:c r="Q4" t="str">
        <x:v>Paused</x:v>
      </x:c>
      <x:c r="R4" t="n">
        <x:f>COUNTIF('Project Status'!B7:B102,Q4)</x:f>
        <x:v>3</x:v>
      </x:c>
    </x:row>
    <x:row r="5">
      <x:c r="A5" s="24" t="str">
        <x:v>Secure the exact final Dog Park source ZIP and one stable public website/domain so the app, legal pages, billing and store records can be completed against the correct version.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N5" t="str">
        <x:v>Complete</x:v>
      </x:c>
      <x:c r="O5" t="n">
        <x:f>COUNTIF('Launch Tasks'!D8:D203,N5)</x:f>
        <x:v>0</x:v>
      </x:c>
      <x:c r="Q5" t="str">
        <x:v>Blocked</x:v>
      </x:c>
      <x:c r="R5" t="n">
        <x:f>COUNTIF('Project Status'!B8:B103,Q5)</x:f>
        <x:v>0</x:v>
      </x:c>
    </x:row>
    <x:row r="6">
      <x:c r="A6" s="24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N6" t="str">
        <x:v>Paused</x:v>
      </x:c>
      <x:c r="O6" t="n">
        <x:f>COUNTIF('Launch Tasks'!D9:D204,N6)</x:f>
        <x:v>0</x:v>
      </x:c>
    </x:row>
    <x:row r="8">
      <x:c r="A8" s="33" t="n">
        <x:f>COUNTIF('Project Status'!B5:B100,"Active")+COUNTIF('Project Status'!B5:B100,"Active support task")</x:f>
        <x:v>3</x:v>
      </x:c>
      <x:c r="B8" s="33"/>
      <x:c r="C8" s="47" t="n">
        <x:f>COUNTIF('Project Status'!B5:B100,"Paused")</x:f>
        <x:v>4</x:v>
      </x:c>
      <x:c r="D8" s="47"/>
      <x:c r="E8" s="55" t="n">
        <x:f>COUNTIF('Launch Tasks'!D5:D200,"Not Started")+COUNTIF('Launch Tasks'!D5:D200,"In Progress")+COUNTIF('Launch Tasks'!D5:D200,"Blocked")</x:f>
        <x:v>41</x:v>
      </x:c>
      <x:c r="F8" s="55"/>
      <x:c r="G8" s="63" t="n">
        <x:f>COUNTIF('Test Cases'!B5:B200,"Critical")</x:f>
        <x:v>9</x:v>
      </x:c>
      <x:c r="H8" s="63"/>
      <x:c r="I8" s="70" t="n">
        <x:f>COUNTIF(Decisions!E5:E100,"Open")</x:f>
        <x:v>6</x:v>
      </x:c>
      <x:c r="J8" s="70"/>
      <x:c r="K8" s="77" t="n">
        <x:f>COUNTA('IP Assets'!A5:A200)</x:f>
        <x:v>17</x:v>
      </x:c>
      <x:c r="L8" s="77"/>
    </x:row>
    <x:row r="9">
      <x:c r="A9" s="33"/>
      <x:c r="B9" s="33"/>
      <x:c r="C9" s="47"/>
      <x:c r="D9" s="47"/>
      <x:c r="E9" s="55"/>
      <x:c r="F9" s="55"/>
      <x:c r="G9" s="63"/>
      <x:c r="H9" s="63"/>
      <x:c r="I9" s="70"/>
      <x:c r="J9" s="70"/>
      <x:c r="K9" s="77"/>
      <x:c r="L9" s="77"/>
    </x:row>
    <x:row r="10">
      <x:c r="A10" s="33"/>
      <x:c r="B10" s="33"/>
      <x:c r="C10" s="47"/>
      <x:c r="D10" s="47"/>
      <x:c r="E10" s="55"/>
      <x:c r="F10" s="55"/>
      <x:c r="G10" s="63"/>
      <x:c r="H10" s="63"/>
      <x:c r="I10" s="70"/>
      <x:c r="J10" s="70"/>
      <x:c r="K10" s="77"/>
      <x:c r="L10" s="77"/>
    </x:row>
    <x:row r="11">
      <x:c r="A11" s="40" t="str">
        <x:v>Active work areas</x:v>
      </x:c>
      <x:c r="B11" s="40"/>
      <x:c r="C11" s="40" t="str">
        <x:v>Paused areas</x:v>
      </x:c>
      <x:c r="D11" s="40"/>
      <x:c r="E11" s="40" t="str">
        <x:v>Open launch tasks</x:v>
      </x:c>
      <x:c r="F11" s="40"/>
      <x:c r="G11" s="40" t="str">
        <x:v>Critical tests</x:v>
      </x:c>
      <x:c r="H11" s="40"/>
      <x:c r="I11" s="40" t="str">
        <x:v>Open decisions</x:v>
      </x:c>
      <x:c r="J11" s="40"/>
      <x:c r="K11" s="40" t="str">
        <x:v>IP assets recorded</x:v>
      </x:c>
      <x:c r="L11" s="40"/>
    </x:row>
    <x:row r="13">
      <x:c r="A13" s="82" t="str">
        <x:v>URGENT — TRACEY'S ATTENTION</x:v>
      </x:c>
      <x:c r="B13" s="82"/>
      <x:c r="C13" s="82"/>
      <x:c r="D13" s="82"/>
      <x:c r="E13" s="82"/>
      <x:c r="F13" s="82"/>
      <x:c r="G13" s="90" t="str">
        <x:v>LAUNCH GUARDRAIL</x:v>
      </x:c>
      <x:c r="H13" s="90"/>
      <x:c r="I13" s="90"/>
      <x:c r="J13" s="90"/>
      <x:c r="K13" s="90"/>
      <x:c r="L13" s="90"/>
    </x:row>
    <x:row r="14" ht="38" customHeight="1">
      <x:c r="A14" s="179" t="str">
        <x:v>1</x:v>
      </x:c>
      <x:c r="B14" s="178" t="str">
        <x:v>Select/upload the exact final Dog Park source ZIP</x:v>
      </x:c>
      <x:c r="C14" s="178"/>
      <x:c r="D14" s="178"/>
      <x:c r="E14" s="178" t="str">
        <x:v>Blocked until supplied</x:v>
      </x:c>
      <x:c r="F14" s="178"/>
      <x:c r="G14" s="95" t="str">
        <x:v>Facilities/kennels, cattery, childcare, Stock Sense and all new concepts are PAUSED. Record any new idea in the Product Register, then return immediately to the Dog Park launch.</x:v>
      </x:c>
      <x:c r="H14" s="95"/>
      <x:c r="I14" s="95"/>
      <x:c r="J14" s="95"/>
      <x:c r="K14" s="95"/>
      <x:c r="L14" s="95"/>
    </x:row>
    <x:row r="15" ht="38" customHeight="1">
      <x:c r="A15" s="179" t="str">
        <x:v>2</x:v>
      </x:c>
      <x:c r="B15" s="178" t="str">
        <x:v>Choose one final public domain/website</x:v>
      </x:c>
      <x:c r="C15" s="178"/>
      <x:c r="D15" s="178"/>
      <x:c r="E15" s="178" t="str">
        <x:v>Needed for Google, Apple and legal URLs</x:v>
      </x:c>
      <x:c r="F15" s="178"/>
      <x:c r="G15" s="95"/>
      <x:c r="H15" s="95"/>
      <x:c r="I15" s="95"/>
      <x:c r="J15" s="95"/>
      <x:c r="K15" s="95"/>
      <x:c r="L15" s="95"/>
    </x:row>
    <x:row r="16" ht="38" customHeight="1">
      <x:c r="A16" s="179" t="str">
        <x:v>3</x:v>
      </x:c>
      <x:c r="B16" s="178" t="str">
        <x:v>Choose public support contact details</x:v>
      </x:c>
      <x:c r="C16" s="178"/>
      <x:c r="D16" s="178"/>
      <x:c r="E16" s="178" t="str">
        <x:v>Required in listings and legal documents</x:v>
      </x:c>
      <x:c r="F16" s="178"/>
      <x:c r="G16" s="95"/>
      <x:c r="H16" s="95"/>
      <x:c r="I16" s="95"/>
      <x:c r="J16" s="95"/>
      <x:c r="K16" s="95"/>
      <x:c r="L16" s="95"/>
    </x:row>
    <x:row r="17" ht="38" customHeight="1">
      <x:c r="A17" s="179" t="str">
        <x:v>4</x:v>
      </x:c>
      <x:c r="B17" s="178" t="str">
        <x:v>Approve backend provider after cost/security comparison</x:v>
      </x:c>
      <x:c r="C17" s="178"/>
      <x:c r="D17" s="178"/>
      <x:c r="E17" s="178" t="str">
        <x:v>Required before real accounts and live data</x:v>
      </x:c>
      <x:c r="F17" s="178"/>
      <x:c r="G17" s="95"/>
      <x:c r="H17" s="95"/>
      <x:c r="I17" s="95"/>
      <x:c r="J17" s="95"/>
      <x:c r="K17" s="95"/>
      <x:c r="L17" s="95"/>
    </x:row>
    <x:row r="18" ht="38" customHeight="1">
      <x:c r="A18" s="179" t="str">
        <x:v>5</x:v>
      </x:c>
      <x:c r="B18" s="178" t="str">
        <x:v>Decide concession eligibility process</x:v>
      </x:c>
      <x:c r="C18" s="178"/>
      <x:c r="D18" s="178"/>
      <x:c r="E18" s="178" t="str">
        <x:v>Needed before concession subscriptions launch</x:v>
      </x:c>
      <x:c r="F18" s="178"/>
      <x:c r="G18" s="95"/>
      <x:c r="H18" s="95"/>
      <x:c r="I18" s="95"/>
      <x:c r="J18" s="95"/>
      <x:c r="K18" s="95"/>
      <x:c r="L18" s="95"/>
    </x:row>
    <x:row r="20">
      <x:c r="A20" s="100" t="str">
        <x:v>STATUS KEY</x:v>
      </x:c>
      <x:c r="B20" s="100"/>
      <x:c r="C20" s="100"/>
      <x:c r="D20" s="100"/>
      <x:c r="E20" s="100"/>
      <x:c r="F20" s="100"/>
      <x:c r="G20" s="100"/>
      <x:c r="H20" s="100"/>
      <x:c r="I20" s="100"/>
      <x:c r="J20" s="100"/>
      <x:c r="K20" s="100"/>
      <x:c r="L20" s="100"/>
    </x:row>
    <x:row r="21">
      <x:c r="A21" s="105" t="str">
        <x:v>Complete / Active</x:v>
      </x:c>
      <x:c r="B21" s="105"/>
      <x:c r="C21" s="113" t="str">
        <x:v>In progress / Review</x:v>
      </x:c>
      <x:c r="D21" s="113"/>
      <x:c r="E21" s="121" t="str">
        <x:v>Paused</x:v>
      </x:c>
      <x:c r="F21" s="121"/>
      <x:c r="G21" s="129" t="str">
        <x:v>Blocked / Urgent</x:v>
      </x:c>
      <x:c r="H21" s="129"/>
      <x:c r="I21" s="138" t="str">
        <x:v>Official emergency only</x:v>
      </x:c>
      <x:c r="J21" s="138"/>
      <x:c r="K21" s="147" t="str">
        <x:v>Use GENEVIEVE™ — not ® while registration is pending</x:v>
      </x:c>
      <x:c r="L21" s="147"/>
    </x:row>
    <x:row r="22">
      <x:c r="A22" s="105"/>
      <x:c r="B22" s="105"/>
      <x:c r="C22" s="113"/>
      <x:c r="D22" s="113"/>
      <x:c r="E22" s="121"/>
      <x:c r="F22" s="121"/>
      <x:c r="G22" s="129"/>
      <x:c r="H22" s="129"/>
      <x:c r="I22" s="138"/>
      <x:c r="J22" s="138"/>
      <x:c r="K22" s="147"/>
      <x:c r="L22" s="147"/>
    </x:row>
    <x:row r="41">
      <x:c r="A41" s="173" t="str">
        <x:v>Prepared 14 July 2026. This workbook is a launch-control and drafting aid, not legal, privacy, veterinary, insurance, tax, patent or financial advice. Verify final public statements, data flows, prices and obligations before launch.</x:v>
      </x:c>
      <x:c r="B41" s="173"/>
      <x:c r="C41" s="173"/>
      <x:c r="D41" s="173"/>
      <x:c r="E41" s="173"/>
      <x:c r="F41" s="173"/>
      <x:c r="G41" s="173"/>
      <x:c r="H41" s="173"/>
      <x:c r="I41" s="173"/>
      <x:c r="J41" s="173"/>
      <x:c r="K41" s="173"/>
      <x:c r="L41" s="173"/>
    </x:row>
    <x:row r="42">
      <x:c r="A42" s="173"/>
      <x:c r="B42" s="173"/>
      <x:c r="C42" s="173"/>
      <x:c r="D42" s="173"/>
      <x:c r="E42" s="173"/>
      <x:c r="F42" s="173"/>
      <x:c r="G42" s="173"/>
      <x:c r="H42" s="173"/>
      <x:c r="I42" s="173"/>
      <x:c r="J42" s="173"/>
      <x:c r="K42" s="173"/>
      <x:c r="L42" s="173"/>
    </x:row>
    <x:row r="43">
      <x:c r="A43" s="173"/>
      <x:c r="B43" s="173"/>
      <x:c r="C43" s="173"/>
      <x:c r="D43" s="173"/>
      <x:c r="E43" s="173"/>
      <x:c r="F43" s="173"/>
      <x:c r="G43" s="173"/>
      <x:c r="H43" s="173"/>
      <x:c r="I43" s="173"/>
      <x:c r="J43" s="173"/>
      <x:c r="K43" s="173"/>
      <x:c r="L43" s="173"/>
    </x:row>
  </x:sheetData>
  <x:mergeCells>
    <x:mergeCell ref="A1:L1"/>
    <x:mergeCell ref="A2:L2"/>
    <x:mergeCell ref="A4:L4"/>
    <x:mergeCell ref="A5:L6"/>
    <x:mergeCell ref="A8:B10"/>
    <x:mergeCell ref="A11:B11"/>
    <x:mergeCell ref="C8:D10"/>
    <x:mergeCell ref="C11:D11"/>
    <x:mergeCell ref="E8:F10"/>
    <x:mergeCell ref="E11:F11"/>
    <x:mergeCell ref="G8:H10"/>
    <x:mergeCell ref="G11:H11"/>
    <x:mergeCell ref="I8:J10"/>
    <x:mergeCell ref="I11:J11"/>
    <x:mergeCell ref="K8:L10"/>
    <x:mergeCell ref="K11:L11"/>
    <x:mergeCell ref="A13:F13"/>
    <x:mergeCell ref="G13:L13"/>
    <x:mergeCell ref="G14:L18"/>
    <x:mergeCell ref="A20:L20"/>
    <x:mergeCell ref="A21:B22"/>
    <x:mergeCell ref="C21:D22"/>
    <x:mergeCell ref="E21:F22"/>
    <x:mergeCell ref="G21:H22"/>
    <x:mergeCell ref="I21:J22"/>
    <x:mergeCell ref="K21:L22"/>
    <x:mergeCell ref="A41:L43"/>
    <x:mergeCell ref="B14:D14"/>
    <x:mergeCell ref="E14:F14"/>
    <x:mergeCell ref="B15:D15"/>
    <x:mergeCell ref="E15:F15"/>
    <x:mergeCell ref="B16:D16"/>
    <x:mergeCell ref="E16:F16"/>
    <x:mergeCell ref="B17:D17"/>
    <x:mergeCell ref="E17:F17"/>
    <x:mergeCell ref="B18:D18"/>
    <x:mergeCell ref="E18:F18"/>
  </x:mergeCells>
  <x:pageMargins left="0.7" right="0.7" top="0.75" bottom="0.75" header="0.3" footer="0.3"/>
  <x:drawing xmlns:r="http://schemas.openxmlformats.org/officeDocument/2006/relationships" r:id="R5e6695047c11412c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42" hidden="0" customWidth="1"/>
    <x:col min="5" max="5" width="42" hidden="0" customWidth="1"/>
  </x:cols>
  <x:sheetData>
    <x:row r="1" ht="30" customHeight="1">
      <x:c r="A1" s="4" t="str">
        <x:v>Ecosystem Project Status</x:v>
      </x:c>
      <x:c r="B1" s="4"/>
      <x:c r="C1" s="4"/>
      <x:c r="D1" s="4"/>
      <x:c r="E1" s="4"/>
    </x:row>
    <x:row r="2" ht="28" customHeight="1">
      <x:c r="A2" s="10" t="str">
        <x:v>The Dog Park is active. Other products are retained but paused to prevent launch distraction.</x:v>
      </x:c>
      <x:c r="B2" s="10"/>
      <x:c r="C2" s="10"/>
      <x:c r="D2" s="10"/>
      <x:c r="E2" s="10"/>
    </x:row>
    <x:row r="4" ht="28" customHeight="1">
      <x:c r="A4" s="155" t="str">
        <x:v>Area</x:v>
      </x:c>
      <x:c r="B4" s="155" t="str">
        <x:v>Status</x:v>
      </x:c>
      <x:c r="C4" s="155" t="str">
        <x:v>Priority</x:v>
      </x:c>
      <x:c r="D4" s="155" t="str">
        <x:v>Current Position</x:v>
      </x:c>
      <x:c r="E4" s="155" t="str">
        <x:v>Next Action</x:v>
      </x:c>
    </x:row>
    <x:row r="5" ht="34" customHeight="1">
      <x:c r="A5" s="86" t="str">
        <x:v>Dog Park App</x:v>
      </x:c>
      <x:c r="B5" s="86" t="str">
        <x:v>Active</x:v>
      </x:c>
      <x:c r="C5" s="86" t="str">
        <x:v>Urgent</x:v>
      </x:c>
      <x:c r="D5" s="86" t="str">
        <x:v>Strong static MVP; production launch blockers remain</x:v>
      </x:c>
      <x:c r="E5" s="86" t="str">
        <x:v>Stable website/legal URLs, latest source ZIP, backend, billing, testing</x:v>
      </x:c>
    </x:row>
    <x:row r="6" ht="34" customHeight="1">
      <x:c r="A6" s="86" t="str">
        <x:v>Facilities / Kennels</x:v>
      </x:c>
      <x:c r="B6" s="86" t="str">
        <x:v>Paused</x:v>
      </x:c>
      <x:c r="C6" s="86" t="str">
        <x:v>Medium</x:v>
      </x:c>
      <x:c r="D6" s="86" t="str">
        <x:v>V1 demo and six-week trial proposal prepared</x:v>
      </x:c>
      <x:c r="E6" s="86" t="str">
        <x:v>Resume after Dog Park launch</x:v>
      </x:c>
    </x:row>
    <x:row r="7" ht="34" customHeight="1">
      <x:c r="A7" s="86" t="str">
        <x:v>Cattery</x:v>
      </x:c>
      <x:c r="B7" s="86" t="str">
        <x:v>Paused</x:v>
      </x:c>
      <x:c r="C7" s="86" t="str">
        <x:v>Medium</x:v>
      </x:c>
      <x:c r="D7" s="86" t="str">
        <x:v>Combined cat/dog care command concept prepared</x:v>
      </x:c>
      <x:c r="E7" s="86" t="str">
        <x:v>Resume after Dog Park launch</x:v>
      </x:c>
    </x:row>
    <x:row r="8" ht="34" customHeight="1">
      <x:c r="A8" s="86" t="str">
        <x:v>Childcare</x:v>
      </x:c>
      <x:c r="B8" s="86" t="str">
        <x:v>Paused</x:v>
      </x:c>
      <x:c r="C8" s="86" t="str">
        <x:v>High-risk later</x:v>
      </x:c>
      <x:c r="D8" s="86" t="str">
        <x:v>Prototype/concept exists; child-safety review needed</x:v>
      </x:c>
      <x:c r="E8" s="86" t="str">
        <x:v>Do not develop during Dog Park launch</x:v>
      </x:c>
    </x:row>
    <x:row r="9" ht="34" customHeight="1">
      <x:c r="A9" s="86" t="str">
        <x:v>Stock Sense</x:v>
      </x:c>
      <x:c r="B9" s="86" t="str">
        <x:v>Paused</x:v>
      </x:c>
      <x:c r="C9" s="86" t="str">
        <x:v>Medium</x:v>
      </x:c>
      <x:c r="D9" s="86" t="str">
        <x:v>Inventory module concept exists</x:v>
      </x:c>
      <x:c r="E9" s="86" t="str">
        <x:v>Only integrate later</x:v>
      </x:c>
    </x:row>
    <x:row r="10" ht="34" customHeight="1">
      <x:c r="A10" s="86" t="str">
        <x:v>IP / trade mark</x:v>
      </x:c>
      <x:c r="B10" s="86" t="str">
        <x:v>Active support task</x:v>
      </x:c>
      <x:c r="C10" s="86" t="str">
        <x:v>Urgent</x:v>
      </x:c>
      <x:c r="D10" s="86" t="str">
        <x:v>Application 2667222 stated pending; IP register prepared</x:v>
      </x:c>
      <x:c r="E10" s="86" t="str">
        <x:v>Monitor deadlines; professional review</x:v>
      </x:c>
    </x:row>
    <x:row r="11" ht="34" customHeight="1">
      <x:c r="A11" s="86" t="str">
        <x:v>Licensing</x:v>
      </x:c>
      <x:c r="B11" s="86" t="str">
        <x:v>Active support task</x:v>
      </x:c>
      <x:c r="C11" s="86" t="str">
        <x:v>Medium</x:v>
      </x:c>
      <x:c r="D11" s="86" t="str">
        <x:v>Master licensing model selected; documents incomplete</x:v>
      </x:c>
      <x:c r="E11" s="86" t="str">
        <x:v>Prepare NDA/term sheet after launch-critical work</x:v>
      </x:c>
    </x:row>
    <x:row r="12" ht="34" customHeight="1">
      <x:c r="A12" s="86" t="str">
        <x:v>Google developer/payment setup</x:v>
      </x:c>
      <x:c r="B12" s="86" t="str">
        <x:v>Active blocker</x:v>
      </x:c>
      <x:c r="C12" s="86" t="str">
        <x:v>Urgent</x:v>
      </x:c>
      <x:c r="D12" s="86" t="str">
        <x:v>Business verification and store setup incomplete</x:v>
      </x:c>
      <x:c r="E12" s="86" t="str">
        <x:v>Complete verification and merchant/subscription records</x:v>
      </x:c>
    </x:row>
    <x:row r="13" ht="34" customHeight="1">
      <x:c r="A13" s="86" t="str">
        <x:v>Apple developer/payment setup</x:v>
      </x:c>
      <x:c r="B13" s="86" t="str">
        <x:v>Active blocker</x:v>
      </x:c>
      <x:c r="C13" s="86" t="str">
        <x:v>Urgent</x:v>
      </x:c>
      <x:c r="D13" s="86" t="str">
        <x:v>Requires Apple Developer/App Store Connect and final build</x:v>
      </x:c>
      <x:c r="E13" s="86" t="str">
        <x:v>Complete account, agreements, tax, banking and TestFlight</x:v>
      </x:c>
    </x:row>
    <x:row r="14" ht="34" customHeight="1">
      <x:c r="A14" s="86" t="str">
        <x:v>Stripe web billing</x:v>
      </x:c>
      <x:c r="B14" s="86" t="str">
        <x:v>Blocked/partial</x:v>
      </x:c>
      <x:c r="C14" s="86" t="str">
        <x:v>Urgent</x:v>
      </x:c>
      <x:c r="D14" s="86" t="str">
        <x:v>Portal recorded; app links blank and product mapping incomplete</x:v>
      </x:c>
      <x:c r="E14" s="86" t="str">
        <x:v>Map each link/product and test portal</x:v>
      </x:c>
    </x:row>
    <x:row r="15" ht="34" customHeight="1">
      <x:c r="A15" s="86" t="str">
        <x:v>Legal/privacy</x:v>
      </x:c>
      <x:c r="B15" s="86" t="str">
        <x:v>Drafted/blocked</x:v>
      </x:c>
      <x:c r="C15" s="86" t="str">
        <x:v>Urgent</x:v>
      </x:c>
      <x:c r="D15" s="86" t="str">
        <x:v>Draft pages prepared; final facts and legal review required</x:v>
      </x:c>
      <x:c r="E15" s="86" t="str">
        <x:v>Publish on verified domain and review</x:v>
      </x:c>
    </x:row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E1"/>
    <x:mergeCell ref="A2:E2"/>
  </x:mergeCells>
  <x:conditionalFormatting sqref="B5:B15">
    <x:cfRule type="expression" dxfId="0" priority="1">
      <x:formula>OR(ISNUMBER(SEARCH("ACTIVE",B5)),ISNUMBER(SEARCH("Complete",B5)),ISNUMBER(SEARCH("Prepared",B5)))</x:formula>
    </x:cfRule>
    <x:cfRule type="expression" dxfId="1" priority="2">
      <x:formula>ISNUMBER(SEARCH("Paused",B5))</x:formula>
    </x:cfRule>
    <x:cfRule type="expression" dxfId="2" priority="3">
      <x:formula>OR(ISNUMBER(SEARCH("Blocked",B5)),ISNUMBER(SEARCH("Urgent",B5)))</x:formula>
    </x:cfRule>
    <x:cfRule type="expression" dxfId="3" priority="4">
      <x:formula>OR(ISNUMBER(SEARCH("In Progress",B5)),ISNUMBER(SEARCH("Review",B5)))</x:formula>
    </x:cfRule>
  </x:conditionalFormatting>
  <x:conditionalFormatting sqref="C5:C15">
    <x:cfRule type="expression" dxfId="4" priority="5">
      <x:formula>OR(C5="Urgent",C5="Critical")</x:formula>
    </x:cfRule>
    <x:cfRule type="expression" dxfId="5" priority="6">
      <x:formula>C5="High"</x:formula>
    </x:cfRule>
  </x:conditionalFormatting>
  <x:dataValidations count="2">
    <x:dataValidation type="list" sqref="B5:B104">
      <x:formula1>"Active,Active support task,Paused,Blocked,Complete"</x:formula1>
    </x:dataValidation>
    <x:dataValidation type="list" sqref="C5:C104">
      <x:formula1>"Urgent,High,High-risk later,Medium,Low"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443212fc5740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16" hidden="0" customWidth="1"/>
    <x:col min="5" max="5" width="12" hidden="0" customWidth="1"/>
    <x:col min="6" max="6" width="24" hidden="0" customWidth="1"/>
    <x:col min="7" max="7" width="14" hidden="0" customWidth="1"/>
    <x:col min="8" max="8" width="36" hidden="0" customWidth="1"/>
  </x:cols>
  <x:sheetData>
    <x:row r="1" ht="30" customHeight="1">
      <x:c r="A1" s="4" t="str">
        <x:v>Ordered Dog Park Launch Tasks</x:v>
      </x:c>
      <x:c r="B1" s="4"/>
      <x:c r="C1" s="4"/>
      <x:c r="D1" s="4"/>
      <x:c r="E1" s="4"/>
      <x:c r="F1" s="4"/>
      <x:c r="G1" s="4"/>
      <x:c r="H1" s="4"/>
    </x:row>
    <x:row r="2" ht="28" customHeight="1">
      <x:c r="A2" s="10" t="str">
        <x:v>Complete work gates in order. Do not jump into another product.</x:v>
      </x:c>
      <x:c r="B2" s="10"/>
      <x:c r="C2" s="10"/>
      <x:c r="D2" s="10"/>
      <x:c r="E2" s="10"/>
      <x:c r="F2" s="10"/>
      <x:c r="G2" s="10"/>
      <x:c r="H2" s="10"/>
    </x:row>
    <x:row r="4" ht="28" customHeight="1">
      <x:c r="A4" s="155" t="str">
        <x:v>Task ID</x:v>
      </x:c>
      <x:c r="B4" s="155" t="str">
        <x:v>Gate</x:v>
      </x:c>
      <x:c r="C4" s="155" t="str">
        <x:v>Task</x:v>
      </x:c>
      <x:c r="D4" s="155" t="str">
        <x:v>Status</x:v>
      </x:c>
      <x:c r="E4" s="155" t="str">
        <x:v>Priority</x:v>
      </x:c>
      <x:c r="F4" s="155" t="str">
        <x:v>Owner</x:v>
      </x:c>
      <x:c r="G4" s="155" t="str">
        <x:v>Due Date</x:v>
      </x:c>
      <x:c r="H4" s="155" t="str">
        <x:v>Notes</x:v>
      </x:c>
    </x:row>
    <x:row r="5" ht="34" customHeight="1">
      <x:c r="A5" s="86" t="str">
        <x:v>L001</x:v>
      </x:c>
      <x:c r="B5" s="86" t="str">
        <x:v>Gate 1 — Stable public website</x:v>
      </x:c>
      <x:c r="C5" s="86" t="str">
        <x:v>One final repository selected.</x:v>
      </x:c>
      <x:c r="D5" s="86" t="str">
        <x:v>Not Started</x:v>
      </x:c>
      <x:c r="E5" s="86" t="str">
        <x:v>Urgent</x:v>
      </x:c>
      <x:c r="F5" s="86" t="str">
        <x:v>Tracey + technical/legal support</x:v>
      </x:c>
      <x:c r="G5" s="160" t="str"/>
      <x:c r="H5" s="86" t="str"/>
    </x:row>
    <x:row r="6" ht="34" customHeight="1">
      <x:c r="A6" s="86" t="str">
        <x:v>L002</x:v>
      </x:c>
      <x:c r="B6" s="86" t="str">
        <x:v>Gate 1 — Stable public website</x:v>
      </x:c>
      <x:c r="C6" s="86" t="str">
        <x:v>Static root files confirmed.</x:v>
      </x:c>
      <x:c r="D6" s="86" t="str">
        <x:v>Not Started</x:v>
      </x:c>
      <x:c r="E6" s="86" t="str">
        <x:v>Urgent</x:v>
      </x:c>
      <x:c r="F6" s="86" t="str">
        <x:v>Tracey + technical/legal support</x:v>
      </x:c>
      <x:c r="G6" s="160" t="str"/>
      <x:c r="H6" s="86" t="str"/>
    </x:row>
    <x:row r="7" ht="34" customHeight="1">
      <x:c r="A7" s="86" t="str">
        <x:v>L003</x:v>
      </x:c>
      <x:c r="B7" s="86" t="str">
        <x:v>Gate 1 — Stable public website</x:v>
      </x:c>
      <x:c r="C7" s="86" t="str">
        <x:v>Production Vercel URL opens.</x:v>
      </x:c>
      <x:c r="D7" s="86" t="str">
        <x:v>Not Started</x:v>
      </x:c>
      <x:c r="E7" s="86" t="str">
        <x:v>Urgent</x:v>
      </x:c>
      <x:c r="F7" s="86" t="str">
        <x:v>Tracey + technical/legal support</x:v>
      </x:c>
      <x:c r="G7" s="160" t="str"/>
      <x:c r="H7" s="86" t="str"/>
    </x:row>
    <x:row r="8" ht="34" customHeight="1">
      <x:c r="A8" s="86" t="str">
        <x:v>L004</x:v>
      </x:c>
      <x:c r="B8" s="86" t="str">
        <x:v>Gate 1 — Stable public website</x:v>
      </x:c>
      <x:c r="C8" s="86" t="str">
        <x:v>Custom domain chosen and ownership verified.</x:v>
      </x:c>
      <x:c r="D8" s="86" t="str">
        <x:v>Not Started</x:v>
      </x:c>
      <x:c r="E8" s="86" t="str">
        <x:v>Urgent</x:v>
      </x:c>
      <x:c r="F8" s="86" t="str">
        <x:v>Tracey + technical/legal support</x:v>
      </x:c>
      <x:c r="G8" s="160" t="str"/>
      <x:c r="H8" s="86" t="str"/>
    </x:row>
    <x:row r="9" ht="34" customHeight="1">
      <x:c r="A9" s="86" t="str">
        <x:v>L005</x:v>
      </x:c>
      <x:c r="B9" s="86" t="str">
        <x:v>Gate 1 — Stable public website</x:v>
      </x:c>
      <x:c r="C9" s="86" t="str">
        <x:v>Privacy, Terms, Support, Refund/Cancellation and Deletion URLs open.</x:v>
      </x:c>
      <x:c r="D9" s="86" t="str">
        <x:v>Not Started</x:v>
      </x:c>
      <x:c r="E9" s="86" t="str">
        <x:v>Urgent</x:v>
      </x:c>
      <x:c r="F9" s="86" t="str">
        <x:v>Tracey + technical/legal support</x:v>
      </x:c>
      <x:c r="G9" s="160" t="str"/>
      <x:c r="H9" s="86" t="str"/>
    </x:row>
    <x:row r="10" ht="34" customHeight="1">
      <x:c r="A10" s="86" t="str">
        <x:v>L006</x:v>
      </x:c>
      <x:c r="B10" s="86" t="str">
        <x:v>Gate 2 — Finalise the product</x:v>
      </x:c>
      <x:c r="C10" s="86" t="str">
        <x:v>Replace Bruno with Mr Gruff everywhere.</x:v>
      </x:c>
      <x:c r="D10" s="86" t="str">
        <x:v>Not Started</x:v>
      </x:c>
      <x:c r="E10" s="86" t="str">
        <x:v>Urgent</x:v>
      </x:c>
      <x:c r="F10" s="86" t="str">
        <x:v>Tracey + technical/legal support</x:v>
      </x:c>
      <x:c r="G10" s="160" t="str"/>
      <x:c r="H10" s="86" t="str"/>
    </x:row>
    <x:row r="11" ht="34" customHeight="1">
      <x:c r="A11" s="86" t="str">
        <x:v>L007</x:v>
      </x:c>
      <x:c r="B11" s="86" t="str">
        <x:v>Gate 2 — Finalise the product</x:v>
      </x:c>
      <x:c r="C11" s="86" t="str">
        <x:v>Insert exact approved logos and photo assets.</x:v>
      </x:c>
      <x:c r="D11" s="86" t="str">
        <x:v>Not Started</x:v>
      </x:c>
      <x:c r="E11" s="86" t="str">
        <x:v>Urgent</x:v>
      </x:c>
      <x:c r="F11" s="86" t="str">
        <x:v>Tracey + technical/legal support</x:v>
      </x:c>
      <x:c r="G11" s="160" t="str"/>
      <x:c r="H11" s="86" t="str"/>
    </x:row>
    <x:row r="12" ht="34" customHeight="1">
      <x:c r="A12" s="86" t="str">
        <x:v>L008</x:v>
      </x:c>
      <x:c r="B12" s="86" t="str">
        <x:v>Gate 2 — Finalise the product</x:v>
      </x:c>
      <x:c r="C12" s="86" t="str">
        <x:v>Remove demo/duplicate/old-price content.</x:v>
      </x:c>
      <x:c r="D12" s="86" t="str">
        <x:v>Not Started</x:v>
      </x:c>
      <x:c r="E12" s="86" t="str">
        <x:v>Urgent</x:v>
      </x:c>
      <x:c r="F12" s="86" t="str">
        <x:v>Tracey + technical/legal support</x:v>
      </x:c>
      <x:c r="G12" s="160" t="str"/>
      <x:c r="H12" s="86" t="str"/>
    </x:row>
    <x:row r="13" ht="34" customHeight="1">
      <x:c r="A13" s="86" t="str">
        <x:v>L009</x:v>
      </x:c>
      <x:c r="B13" s="86" t="str">
        <x:v>Gate 2 — Finalise the product</x:v>
      </x:c>
      <x:c r="C13" s="86" t="str">
        <x:v>Verify every screen, button and colour.</x:v>
      </x:c>
      <x:c r="D13" s="86" t="str">
        <x:v>Not Started</x:v>
      </x:c>
      <x:c r="E13" s="86" t="str">
        <x:v>Urgent</x:v>
      </x:c>
      <x:c r="F13" s="86" t="str">
        <x:v>Tracey + technical/legal support</x:v>
      </x:c>
      <x:c r="G13" s="160" t="str"/>
      <x:c r="H13" s="86" t="str"/>
    </x:row>
    <x:row r="14" ht="34" customHeight="1">
      <x:c r="A14" s="86" t="str">
        <x:v>L010</x:v>
      </x:c>
      <x:c r="B14" s="86" t="str">
        <x:v>Gate 2 — Finalise the product</x:v>
      </x:c>
      <x:c r="C14" s="86" t="str">
        <x:v>Verify official/council data sources and last-updated process.</x:v>
      </x:c>
      <x:c r="D14" s="86" t="str">
        <x:v>Not Started</x:v>
      </x:c>
      <x:c r="E14" s="86" t="str">
        <x:v>Urgent</x:v>
      </x:c>
      <x:c r="F14" s="86" t="str">
        <x:v>Tracey + technical/legal support</x:v>
      </x:c>
      <x:c r="G14" s="160" t="str"/>
      <x:c r="H14" s="86" t="str"/>
    </x:row>
    <x:row r="15" ht="34" customHeight="1">
      <x:c r="A15" s="86" t="str">
        <x:v>L011</x:v>
      </x:c>
      <x:c r="B15" s="86" t="str">
        <x:v>Gate 3 — Production backend</x:v>
      </x:c>
      <x:c r="C15" s="86" t="str">
        <x:v>Authentication provider selected.</x:v>
      </x:c>
      <x:c r="D15" s="86" t="str">
        <x:v>Not Started</x:v>
      </x:c>
      <x:c r="E15" s="86" t="str">
        <x:v>High</x:v>
      </x:c>
      <x:c r="F15" s="86" t="str">
        <x:v>Tracey + technical/legal support</x:v>
      </x:c>
      <x:c r="G15" s="160" t="str"/>
      <x:c r="H15" s="86" t="str"/>
    </x:row>
    <x:row r="16" ht="34" customHeight="1">
      <x:c r="A16" s="86" t="str">
        <x:v>L012</x:v>
      </x:c>
      <x:c r="B16" s="86" t="str">
        <x:v>Gate 3 — Production backend</x:v>
      </x:c>
      <x:c r="C16" s="86" t="str">
        <x:v>Database/data region selected.</x:v>
      </x:c>
      <x:c r="D16" s="86" t="str">
        <x:v>Not Started</x:v>
      </x:c>
      <x:c r="E16" s="86" t="str">
        <x:v>High</x:v>
      </x:c>
      <x:c r="F16" s="86" t="str">
        <x:v>Tracey + technical/legal support</x:v>
      </x:c>
      <x:c r="G16" s="160" t="str"/>
      <x:c r="H16" s="86" t="str"/>
    </x:row>
    <x:row r="17" ht="34" customHeight="1">
      <x:c r="A17" s="86" t="str">
        <x:v>L013</x:v>
      </x:c>
      <x:c r="B17" s="86" t="str">
        <x:v>Gate 3 — Production backend</x:v>
      </x:c>
      <x:c r="C17" s="86" t="str">
        <x:v>Roles and permissions implemented.</x:v>
      </x:c>
      <x:c r="D17" s="86" t="str">
        <x:v>Not Started</x:v>
      </x:c>
      <x:c r="E17" s="86" t="str">
        <x:v>High</x:v>
      </x:c>
      <x:c r="F17" s="86" t="str">
        <x:v>Tracey + technical/legal support</x:v>
      </x:c>
      <x:c r="G17" s="160" t="str"/>
      <x:c r="H17" s="86" t="str"/>
    </x:row>
    <x:row r="18" ht="34" customHeight="1">
      <x:c r="A18" s="86" t="str">
        <x:v>L014</x:v>
      </x:c>
      <x:c r="B18" s="86" t="str">
        <x:v>Gate 3 — Production backend</x:v>
      </x:c>
      <x:c r="C18" s="86" t="str">
        <x:v>Audit logs, backups and recovery implemented.</x:v>
      </x:c>
      <x:c r="D18" s="86" t="str">
        <x:v>Not Started</x:v>
      </x:c>
      <x:c r="E18" s="86" t="str">
        <x:v>High</x:v>
      </x:c>
      <x:c r="F18" s="86" t="str">
        <x:v>Tracey + technical/legal support</x:v>
      </x:c>
      <x:c r="G18" s="160" t="str"/>
      <x:c r="H18" s="86" t="str"/>
    </x:row>
    <x:row r="19" ht="34" customHeight="1">
      <x:c r="A19" s="86" t="str">
        <x:v>L015</x:v>
      </x:c>
      <x:c r="B19" s="86" t="str">
        <x:v>Gate 3 — Production backend</x:v>
      </x:c>
      <x:c r="C19" s="86" t="str">
        <x:v>Account deletion and data export implemented.</x:v>
      </x:c>
      <x:c r="D19" s="86" t="str">
        <x:v>Not Started</x:v>
      </x:c>
      <x:c r="E19" s="86" t="str">
        <x:v>High</x:v>
      </x:c>
      <x:c r="F19" s="86" t="str">
        <x:v>Tracey + technical/legal support</x:v>
      </x:c>
      <x:c r="G19" s="160" t="str"/>
      <x:c r="H19" s="86" t="str"/>
    </x:row>
    <x:row r="20" ht="34" customHeight="1">
      <x:c r="A20" s="86" t="str">
        <x:v>L016</x:v>
      </x:c>
      <x:c r="B20" s="86" t="str">
        <x:v>Gate 3 — Production backend</x:v>
      </x:c>
      <x:c r="C20" s="86" t="str">
        <x:v>Security and privacy incident process documented.</x:v>
      </x:c>
      <x:c r="D20" s="86" t="str">
        <x:v>Not Started</x:v>
      </x:c>
      <x:c r="E20" s="86" t="str">
        <x:v>High</x:v>
      </x:c>
      <x:c r="F20" s="86" t="str">
        <x:v>Tracey + technical/legal support</x:v>
      </x:c>
      <x:c r="G20" s="160" t="str"/>
      <x:c r="H20" s="86" t="str"/>
    </x:row>
    <x:row r="21" ht="34" customHeight="1">
      <x:c r="A21" s="86" t="str">
        <x:v>L017</x:v>
      </x:c>
      <x:c r="B21" s="86" t="str">
        <x:v>Gate 4 — Billing</x:v>
      </x:c>
      <x:c r="C21" s="86" t="str">
        <x:v>Google payments profile verified.</x:v>
      </x:c>
      <x:c r="D21" s="86" t="str">
        <x:v>Not Started</x:v>
      </x:c>
      <x:c r="E21" s="86" t="str">
        <x:v>High</x:v>
      </x:c>
      <x:c r="F21" s="86" t="str">
        <x:v>Tracey + technical/legal support</x:v>
      </x:c>
      <x:c r="G21" s="160" t="str"/>
      <x:c r="H21" s="86" t="str"/>
    </x:row>
    <x:row r="22" ht="34" customHeight="1">
      <x:c r="A22" s="86" t="str">
        <x:v>L018</x:v>
      </x:c>
      <x:c r="B22" s="86" t="str">
        <x:v>Gate 4 — Billing</x:v>
      </x:c>
      <x:c r="C22" s="86" t="str">
        <x:v>Apple agreements, tax and banking completed.</x:v>
      </x:c>
      <x:c r="D22" s="86" t="str">
        <x:v>Not Started</x:v>
      </x:c>
      <x:c r="E22" s="86" t="str">
        <x:v>High</x:v>
      </x:c>
      <x:c r="F22" s="86" t="str">
        <x:v>Tracey + technical/legal support</x:v>
      </x:c>
      <x:c r="G22" s="160" t="str"/>
      <x:c r="H22" s="86" t="str"/>
    </x:row>
    <x:row r="23" ht="34" customHeight="1">
      <x:c r="A23" s="86" t="str">
        <x:v>L019</x:v>
      </x:c>
      <x:c r="B23" s="86" t="str">
        <x:v>Gate 4 — Billing</x:v>
      </x:c>
      <x:c r="C23" s="86" t="str">
        <x:v>Four subscription products created with final IDs.</x:v>
      </x:c>
      <x:c r="D23" s="86" t="str">
        <x:v>Not Started</x:v>
      </x:c>
      <x:c r="E23" s="86" t="str">
        <x:v>High</x:v>
      </x:c>
      <x:c r="F23" s="86" t="str">
        <x:v>Tracey + technical/legal support</x:v>
      </x:c>
      <x:c r="G23" s="160" t="str"/>
      <x:c r="H23" s="86" t="str"/>
    </x:row>
    <x:row r="24" ht="34" customHeight="1">
      <x:c r="A24" s="86" t="str">
        <x:v>L020</x:v>
      </x:c>
      <x:c r="B24" s="86" t="str">
        <x:v>Gate 4 — Billing</x:v>
      </x:c>
      <x:c r="C24" s="86" t="str">
        <x:v>30-day introductory trial configured and tested.</x:v>
      </x:c>
      <x:c r="D24" s="86" t="str">
        <x:v>Not Started</x:v>
      </x:c>
      <x:c r="E24" s="86" t="str">
        <x:v>High</x:v>
      </x:c>
      <x:c r="F24" s="86" t="str">
        <x:v>Tracey + technical/legal support</x:v>
      </x:c>
      <x:c r="G24" s="160" t="str"/>
      <x:c r="H24" s="86" t="str"/>
    </x:row>
    <x:row r="25" ht="34" customHeight="1">
      <x:c r="A25" s="86" t="str">
        <x:v>L021</x:v>
      </x:c>
      <x:c r="B25" s="86" t="str">
        <x:v>Gate 4 — Billing</x:v>
      </x:c>
      <x:c r="C25" s="86" t="str">
        <x:v>Store receipt/entitlement backend implemented.</x:v>
      </x:c>
      <x:c r="D25" s="86" t="str">
        <x:v>Not Started</x:v>
      </x:c>
      <x:c r="E25" s="86" t="str">
        <x:v>High</x:v>
      </x:c>
      <x:c r="F25" s="86" t="str">
        <x:v>Tracey + technical/legal support</x:v>
      </x:c>
      <x:c r="G25" s="160" t="str"/>
      <x:c r="H25" s="86" t="str"/>
    </x:row>
    <x:row r="26" ht="34" customHeight="1">
      <x:c r="A26" s="86" t="str">
        <x:v>L022</x:v>
      </x:c>
      <x:c r="B26" s="86" t="str">
        <x:v>Gate 4 — Billing</x:v>
      </x:c>
      <x:c r="C26" s="86" t="str">
        <x:v>Web Stripe links mapped and customer portal tested.</x:v>
      </x:c>
      <x:c r="D26" s="86" t="str">
        <x:v>Not Started</x:v>
      </x:c>
      <x:c r="E26" s="86" t="str">
        <x:v>High</x:v>
      </x:c>
      <x:c r="F26" s="86" t="str">
        <x:v>Tracey + technical/legal support</x:v>
      </x:c>
      <x:c r="G26" s="160" t="str"/>
      <x:c r="H26" s="86" t="str"/>
    </x:row>
    <x:row r="27" ht="34" customHeight="1">
      <x:c r="A27" s="86" t="str">
        <x:v>L023</x:v>
      </x:c>
      <x:c r="B27" s="86" t="str">
        <x:v>Gate 4 — Billing</x:v>
      </x:c>
      <x:c r="C27" s="86" t="str">
        <x:v>Paywall, cancellation and refund wording verified.</x:v>
      </x:c>
      <x:c r="D27" s="86" t="str">
        <x:v>Not Started</x:v>
      </x:c>
      <x:c r="E27" s="86" t="str">
        <x:v>High</x:v>
      </x:c>
      <x:c r="F27" s="86" t="str">
        <x:v>Tracey + technical/legal support</x:v>
      </x:c>
      <x:c r="G27" s="160" t="str"/>
      <x:c r="H27" s="86" t="str"/>
    </x:row>
    <x:row r="28" ht="34" customHeight="1">
      <x:c r="A28" s="86" t="str">
        <x:v>L024</x:v>
      </x:c>
      <x:c r="B28" s="86" t="str">
        <x:v>Gate 5 — Compliance and store records</x:v>
      </x:c>
      <x:c r="C28" s="86" t="str">
        <x:v>Australian legal/privacy/consumer review completed.</x:v>
      </x:c>
      <x:c r="D28" s="86" t="str">
        <x:v>Not Started</x:v>
      </x:c>
      <x:c r="E28" s="86" t="str">
        <x:v>High</x:v>
      </x:c>
      <x:c r="F28" s="86" t="str">
        <x:v>Tracey + technical/legal support</x:v>
      </x:c>
      <x:c r="G28" s="160" t="str"/>
      <x:c r="H28" s="86" t="str"/>
    </x:row>
    <x:row r="29" ht="34" customHeight="1">
      <x:c r="A29" s="86" t="str">
        <x:v>L025</x:v>
      </x:c>
      <x:c r="B29" s="86" t="str">
        <x:v>Gate 5 — Compliance and store records</x:v>
      </x:c>
      <x:c r="C29" s="86" t="str">
        <x:v>Google Data Safety completed from actual data flows.</x:v>
      </x:c>
      <x:c r="D29" s="86" t="str">
        <x:v>Not Started</x:v>
      </x:c>
      <x:c r="E29" s="86" t="str">
        <x:v>High</x:v>
      </x:c>
      <x:c r="F29" s="86" t="str">
        <x:v>Tracey + technical/legal support</x:v>
      </x:c>
      <x:c r="G29" s="160" t="str"/>
      <x:c r="H29" s="86" t="str"/>
    </x:row>
    <x:row r="30" ht="34" customHeight="1">
      <x:c r="A30" s="86" t="str">
        <x:v>L026</x:v>
      </x:c>
      <x:c r="B30" s="86" t="str">
        <x:v>Gate 5 — Compliance and store records</x:v>
      </x:c>
      <x:c r="C30" s="86" t="str">
        <x:v>Apple App Privacy completed from actual data flows.</x:v>
      </x:c>
      <x:c r="D30" s="86" t="str">
        <x:v>Not Started</x:v>
      </x:c>
      <x:c r="E30" s="86" t="str">
        <x:v>High</x:v>
      </x:c>
      <x:c r="F30" s="86" t="str">
        <x:v>Tracey + technical/legal support</x:v>
      </x:c>
      <x:c r="G30" s="160" t="str"/>
      <x:c r="H30" s="86" t="str"/>
    </x:row>
    <x:row r="31" ht="34" customHeight="1">
      <x:c r="A31" s="86" t="str">
        <x:v>L027</x:v>
      </x:c>
      <x:c r="B31" s="86" t="str">
        <x:v>Gate 5 — Compliance and store records</x:v>
      </x:c>
      <x:c r="C31" s="86" t="str">
        <x:v>Target audience and content rating completed.</x:v>
      </x:c>
      <x:c r="D31" s="86" t="str">
        <x:v>Not Started</x:v>
      </x:c>
      <x:c r="E31" s="86" t="str">
        <x:v>High</x:v>
      </x:c>
      <x:c r="F31" s="86" t="str">
        <x:v>Tracey + technical/legal support</x:v>
      </x:c>
      <x:c r="G31" s="160" t="str"/>
      <x:c r="H31" s="86" t="str"/>
    </x:row>
    <x:row r="32" ht="34" customHeight="1">
      <x:c r="A32" s="86" t="str">
        <x:v>L028</x:v>
      </x:c>
      <x:c r="B32" s="86" t="str">
        <x:v>Gate 5 — Compliance and store records</x:v>
      </x:c>
      <x:c r="C32" s="86" t="str">
        <x:v>Support, marketing, privacy and deletion URLs entered.</x:v>
      </x:c>
      <x:c r="D32" s="86" t="str">
        <x:v>Not Started</x:v>
      </x:c>
      <x:c r="E32" s="86" t="str">
        <x:v>High</x:v>
      </x:c>
      <x:c r="F32" s="86" t="str">
        <x:v>Tracey + technical/legal support</x:v>
      </x:c>
      <x:c r="G32" s="160" t="str"/>
      <x:c r="H32" s="86" t="str"/>
    </x:row>
    <x:row r="33" ht="34" customHeight="1">
      <x:c r="A33" s="86" t="str">
        <x:v>L029</x:v>
      </x:c>
      <x:c r="B33" s="86" t="str">
        <x:v>Gate 5 — Compliance and store records</x:v>
      </x:c>
      <x:c r="C33" s="86" t="str">
        <x:v>Reviewer instructions and test accounts prepared.</x:v>
      </x:c>
      <x:c r="D33" s="86" t="str">
        <x:v>Not Started</x:v>
      </x:c>
      <x:c r="E33" s="86" t="str">
        <x:v>High</x:v>
      </x:c>
      <x:c r="F33" s="86" t="str">
        <x:v>Tracey + technical/legal support</x:v>
      </x:c>
      <x:c r="G33" s="160" t="str"/>
      <x:c r="H33" s="86" t="str"/>
    </x:row>
    <x:row r="34" ht="34" customHeight="1">
      <x:c r="A34" s="86" t="str">
        <x:v>L030</x:v>
      </x:c>
      <x:c r="B34" s="86" t="str">
        <x:v>Gate 6 — Testing</x:v>
      </x:c>
      <x:c r="C34" s="86" t="str">
        <x:v>Internal functional test complete.</x:v>
      </x:c>
      <x:c r="D34" s="86" t="str">
        <x:v>Not Started</x:v>
      </x:c>
      <x:c r="E34" s="86" t="str">
        <x:v>Medium</x:v>
      </x:c>
      <x:c r="F34" s="86" t="str">
        <x:v>Tracey + technical/legal support</x:v>
      </x:c>
      <x:c r="G34" s="160" t="str"/>
      <x:c r="H34" s="86" t="str"/>
    </x:row>
    <x:row r="35" ht="34" customHeight="1">
      <x:c r="A35" s="86" t="str">
        <x:v>L031</x:v>
      </x:c>
      <x:c r="B35" s="86" t="str">
        <x:v>Gate 6 — Testing</x:v>
      </x:c>
      <x:c r="C35" s="86" t="str">
        <x:v>Accessibility test complete.</x:v>
      </x:c>
      <x:c r="D35" s="86" t="str">
        <x:v>Not Started</x:v>
      </x:c>
      <x:c r="E35" s="86" t="str">
        <x:v>Medium</x:v>
      </x:c>
      <x:c r="F35" s="86" t="str">
        <x:v>Tracey + technical/legal support</x:v>
      </x:c>
      <x:c r="G35" s="160" t="str"/>
      <x:c r="H35" s="86" t="str"/>
    </x:row>
    <x:row r="36" ht="34" customHeight="1">
      <x:c r="A36" s="86" t="str">
        <x:v>L032</x:v>
      </x:c>
      <x:c r="B36" s="86" t="str">
        <x:v>Gate 6 — Testing</x:v>
      </x:c>
      <x:c r="C36" s="86" t="str">
        <x:v>Security/privacy test complete.</x:v>
      </x:c>
      <x:c r="D36" s="86" t="str">
        <x:v>Not Started</x:v>
      </x:c>
      <x:c r="E36" s="86" t="str">
        <x:v>Medium</x:v>
      </x:c>
      <x:c r="F36" s="86" t="str">
        <x:v>Tracey + technical/legal support</x:v>
      </x:c>
      <x:c r="G36" s="160" t="str"/>
      <x:c r="H36" s="86" t="str"/>
    </x:row>
    <x:row r="37" ht="34" customHeight="1">
      <x:c r="A37" s="86" t="str">
        <x:v>L033</x:v>
      </x:c>
      <x:c r="B37" s="86" t="str">
        <x:v>Gate 6 — Testing</x:v>
      </x:c>
      <x:c r="C37" s="86" t="str">
        <x:v>Billing sandbox test complete.</x:v>
      </x:c>
      <x:c r="D37" s="86" t="str">
        <x:v>Not Started</x:v>
      </x:c>
      <x:c r="E37" s="86" t="str">
        <x:v>Medium</x:v>
      </x:c>
      <x:c r="F37" s="86" t="str">
        <x:v>Tracey + technical/legal support</x:v>
      </x:c>
      <x:c r="G37" s="160" t="str"/>
      <x:c r="H37" s="86" t="str"/>
    </x:row>
    <x:row r="38" ht="34" customHeight="1">
      <x:c r="A38" s="86" t="str">
        <x:v>L034</x:v>
      </x:c>
      <x:c r="B38" s="86" t="str">
        <x:v>Gate 6 — Testing</x:v>
      </x:c>
      <x:c r="C38" s="86" t="str">
        <x:v>Closed beta completed.</x:v>
      </x:c>
      <x:c r="D38" s="86" t="str">
        <x:v>Not Started</x:v>
      </x:c>
      <x:c r="E38" s="86" t="str">
        <x:v>Medium</x:v>
      </x:c>
      <x:c r="F38" s="86" t="str">
        <x:v>Tracey + technical/legal support</x:v>
      </x:c>
      <x:c r="G38" s="160" t="str"/>
      <x:c r="H38" s="86" t="str"/>
    </x:row>
    <x:row r="39" ht="34" customHeight="1">
      <x:c r="A39" s="86" t="str">
        <x:v>L035</x:v>
      </x:c>
      <x:c r="B39" s="86" t="str">
        <x:v>Gate 6 — Testing</x:v>
      </x:c>
      <x:c r="C39" s="86" t="str">
        <x:v>Critical/high defects closed.</x:v>
      </x:c>
      <x:c r="D39" s="86" t="str">
        <x:v>Not Started</x:v>
      </x:c>
      <x:c r="E39" s="86" t="str">
        <x:v>Medium</x:v>
      </x:c>
      <x:c r="F39" s="86" t="str">
        <x:v>Tracey + technical/legal support</x:v>
      </x:c>
      <x:c r="G39" s="160" t="str"/>
      <x:c r="H39" s="86" t="str"/>
    </x:row>
    <x:row r="40" ht="34" customHeight="1">
      <x:c r="A40" s="86" t="str">
        <x:v>L036</x:v>
      </x:c>
      <x:c r="B40" s="86" t="str">
        <x:v>Gate 7 — Launch</x:v>
      </x:c>
      <x:c r="C40" s="86" t="str">
        <x:v>Final version number and changelog recorded.</x:v>
      </x:c>
      <x:c r="D40" s="86" t="str">
        <x:v>Not Started</x:v>
      </x:c>
      <x:c r="E40" s="86" t="str">
        <x:v>Medium</x:v>
      </x:c>
      <x:c r="F40" s="86" t="str">
        <x:v>Tracey + technical/legal support</x:v>
      </x:c>
      <x:c r="G40" s="160" t="str"/>
      <x:c r="H40" s="86" t="str"/>
    </x:row>
    <x:row r="41" ht="34" customHeight="1">
      <x:c r="A41" s="86" t="str">
        <x:v>L037</x:v>
      </x:c>
      <x:c r="B41" s="86" t="str">
        <x:v>Gate 7 — Launch</x:v>
      </x:c>
      <x:c r="C41" s="86" t="str">
        <x:v>Screenshots and store text approved.</x:v>
      </x:c>
      <x:c r="D41" s="86" t="str">
        <x:v>Not Started</x:v>
      </x:c>
      <x:c r="E41" s="86" t="str">
        <x:v>Medium</x:v>
      </x:c>
      <x:c r="F41" s="86" t="str">
        <x:v>Tracey + technical/legal support</x:v>
      </x:c>
      <x:c r="G41" s="160" t="str"/>
      <x:c r="H41" s="86" t="str"/>
    </x:row>
    <x:row r="42" ht="34" customHeight="1">
      <x:c r="A42" s="86" t="str">
        <x:v>L038</x:v>
      </x:c>
      <x:c r="B42" s="86" t="str">
        <x:v>Gate 7 — Launch</x:v>
      </x:c>
      <x:c r="C42" s="86" t="str">
        <x:v>Managed/staged rollout selected.</x:v>
      </x:c>
      <x:c r="D42" s="86" t="str">
        <x:v>Not Started</x:v>
      </x:c>
      <x:c r="E42" s="86" t="str">
        <x:v>Medium</x:v>
      </x:c>
      <x:c r="F42" s="86" t="str">
        <x:v>Tracey + technical/legal support</x:v>
      </x:c>
      <x:c r="G42" s="160" t="str"/>
      <x:c r="H42" s="86" t="str"/>
    </x:row>
    <x:row r="43" ht="34" customHeight="1">
      <x:c r="A43" s="86" t="str">
        <x:v>L039</x:v>
      </x:c>
      <x:c r="B43" s="86" t="str">
        <x:v>Gate 7 — Launch</x:v>
      </x:c>
      <x:c r="C43" s="86" t="str">
        <x:v>Monitoring and support coverage active.</x:v>
      </x:c>
      <x:c r="D43" s="86" t="str">
        <x:v>Not Started</x:v>
      </x:c>
      <x:c r="E43" s="86" t="str">
        <x:v>Medium</x:v>
      </x:c>
      <x:c r="F43" s="86" t="str">
        <x:v>Tracey + technical/legal support</x:v>
      </x:c>
      <x:c r="G43" s="160" t="str"/>
      <x:c r="H43" s="86" t="str"/>
    </x:row>
    <x:row r="44" ht="34" customHeight="1">
      <x:c r="A44" s="86" t="str">
        <x:v>L040</x:v>
      </x:c>
      <x:c r="B44" s="86" t="str">
        <x:v>Gate 7 — Launch</x:v>
      </x:c>
      <x:c r="C44" s="86" t="str">
        <x:v>Rollback plan ready.</x:v>
      </x:c>
      <x:c r="D44" s="86" t="str">
        <x:v>Not Started</x:v>
      </x:c>
      <x:c r="E44" s="86" t="str">
        <x:v>Medium</x:v>
      </x:c>
      <x:c r="F44" s="86" t="str">
        <x:v>Tracey + technical/legal support</x:v>
      </x:c>
      <x:c r="G44" s="160" t="str"/>
      <x:c r="H44" s="86" t="str"/>
    </x:row>
    <x:row r="45" ht="34" customHeight="1">
      <x:c r="A45" s="86" t="str">
        <x:v>L041</x:v>
      </x:c>
      <x:c r="B45" s="86" t="str">
        <x:v>Gate 7 — Launch</x:v>
      </x:c>
      <x:c r="C45" s="86" t="str">
        <x:v>Tracey gives final approval.</x:v>
      </x:c>
      <x:c r="D45" s="86" t="str">
        <x:v>Not Started</x:v>
      </x:c>
      <x:c r="E45" s="86" t="str">
        <x:v>Medium</x:v>
      </x:c>
      <x:c r="F45" s="86" t="str">
        <x:v>Tracey + technical/legal support</x:v>
      </x:c>
      <x:c r="G45" s="160" t="str"/>
      <x:c r="H45" s="86" t="str"/>
    </x:row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H1"/>
    <x:mergeCell ref="A2:H2"/>
  </x:mergeCells>
  <x:conditionalFormatting sqref="D5:D45">
    <x:cfRule type="expression" dxfId="6" priority="1">
      <x:formula>OR(ISNUMBER(SEARCH("ACTIVE",D5)),ISNUMBER(SEARCH("Complete",D5)),ISNUMBER(SEARCH("Prepared",D5)))</x:formula>
    </x:cfRule>
    <x:cfRule type="expression" dxfId="7" priority="2">
      <x:formula>ISNUMBER(SEARCH("Paused",D5))</x:formula>
    </x:cfRule>
    <x:cfRule type="expression" dxfId="8" priority="3">
      <x:formula>OR(ISNUMBER(SEARCH("Blocked",D5)),ISNUMBER(SEARCH("Urgent",D5)))</x:formula>
    </x:cfRule>
    <x:cfRule type="expression" dxfId="9" priority="4">
      <x:formula>OR(ISNUMBER(SEARCH("In Progress",D5)),ISNUMBER(SEARCH("Review",D5)))</x:formula>
    </x:cfRule>
  </x:conditionalFormatting>
  <x:conditionalFormatting sqref="E5:E45">
    <x:cfRule type="expression" dxfId="10" priority="5">
      <x:formula>OR(E5="Urgent",E5="Critical")</x:formula>
    </x:cfRule>
    <x:cfRule type="expression" dxfId="11" priority="6">
      <x:formula>E5="High"</x:formula>
    </x:cfRule>
  </x:conditionalFormatting>
  <x:dataValidations count="3">
    <x:dataValidation type="list" sqref="D5:D104">
      <x:formula1>"Not Started,In Progress,Blocked,Complete,Paused"</x:formula1>
    </x:dataValidation>
    <x:dataValidation type="list" sqref="E5:E104">
      <x:formula1>"Urgent,High,Medium,Low"</x:formula1>
    </x:dataValidation>
    <x:dataValidation type="list" sqref="F5:F104">
      <x:formula1>"Tracey,Technical,Legal/Privacy,Design,Store/Payments,Tracey + technical/legal support"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c24d0eb6b29420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18" hidden="0" customWidth="1"/>
    <x:col min="4" max="4" width="52" hidden="0" customWidth="1"/>
    <x:col min="5" max="5" width="24" hidden="0" customWidth="1"/>
    <x:col min="6" max="6" width="40" hidden="0" customWidth="1"/>
  </x:cols>
  <x:sheetData>
    <x:row r="1" ht="30" customHeight="1">
      <x:c r="A1" s="4" t="str">
        <x:v>GENEVIEVE Ecosystem Product Register</x:v>
      </x:c>
      <x:c r="B1" s="4"/>
      <x:c r="C1" s="4"/>
      <x:c r="D1" s="4"/>
      <x:c r="E1" s="4"/>
      <x:c r="F1" s="4"/>
    </x:row>
    <x:row r="2" ht="28" customHeight="1">
      <x:c r="A2" s="10" t="str">
        <x:v>Every concept is preserved here; recording a concept does not make it an active project.</x:v>
      </x:c>
      <x:c r="B2" s="10"/>
      <x:c r="C2" s="10"/>
      <x:c r="D2" s="10"/>
      <x:c r="E2" s="10"/>
      <x:c r="F2" s="10"/>
    </x:row>
    <x:row r="4" ht="28" customHeight="1">
      <x:c r="A4" s="155" t="str">
        <x:v>Product ID</x:v>
      </x:c>
      <x:c r="B4" s="155" t="str">
        <x:v>Product</x:v>
      </x:c>
      <x:c r="C4" s="155" t="str">
        <x:v>Division</x:v>
      </x:c>
      <x:c r="D4" s="155" t="str">
        <x:v>Description</x:v>
      </x:c>
      <x:c r="E4" s="155" t="str">
        <x:v>Status</x:v>
      </x:c>
      <x:c r="F4" s="155" t="str">
        <x:v>Next Action</x:v>
      </x:c>
    </x:row>
    <x:row r="5" ht="34" customHeight="1">
      <x:c r="A5" s="86" t="str">
        <x:v>P001</x:v>
      </x:c>
      <x:c r="B5" s="86" t="str">
        <x:v>GENEVIEVE App™ platform</x:v>
      </x:c>
      <x:c r="C5" s="86" t="str">
        <x:v>Core</x:v>
      </x:c>
      <x:c r="D5" s="86" t="str">
        <x:v>Shared host platform, safety alerts, escalation, records and accountability</x:v>
      </x:c>
      <x:c r="E5" s="86" t="str">
        <x:v>Active - Dog Park only</x:v>
      </x:c>
      <x:c r="F5" s="86" t="str">
        <x:v>Dog Park launch</x:v>
      </x:c>
    </x:row>
    <x:row r="6" ht="34" customHeight="1">
      <x:c r="A6" s="86" t="str">
        <x:v>P002</x:v>
      </x:c>
      <x:c r="B6" s="86" t="str">
        <x:v>GENEVIEVE App™ Dog Park</x:v>
      </x:c>
      <x:c r="C6" s="86" t="str">
        <x:v>Pets</x:v>
      </x:c>
      <x:c r="D6" s="86" t="str">
        <x:v>Dog park planning, profiles, compatibility, check-in, alerts, incidents and travel</x:v>
      </x:c>
      <x:c r="E6" s="86" t="str">
        <x:v>ACTIVE</x:v>
      </x:c>
      <x:c r="F6" s="86" t="str">
        <x:v>Complete production launch</x:v>
      </x:c>
    </x:row>
    <x:row r="7" ht="34" customHeight="1">
      <x:c r="A7" s="86" t="str">
        <x:v>P003</x:v>
      </x:c>
      <x:c r="B7" s="86" t="str">
        <x:v>Dog Park Grey Nomad / Travel</x:v>
      </x:c>
      <x:c r="C7" s="86" t="str">
        <x:v>Pets</x:v>
      </x:c>
      <x:c r="D7" s="86" t="str">
        <x:v>Dog-friendly routes, parks, beaches, caravan parks, cafes and travel needs</x:v>
      </x:c>
      <x:c r="E7" s="86" t="str">
        <x:v>Included in active product</x:v>
      </x:c>
      <x:c r="F7" s="86" t="str">
        <x:v>Verify data and limit initial scope</x:v>
      </x:c>
    </x:row>
    <x:row r="8" ht="34" customHeight="1">
      <x:c r="A8" s="86" t="str">
        <x:v>P004</x:v>
      </x:c>
      <x:c r="B8" s="86" t="str">
        <x:v>Master Animal Profile</x:v>
      </x:c>
      <x:c r="C8" s="86" t="str">
        <x:v>Pets/Core</x:v>
      </x:c>
      <x:c r="D8" s="86" t="str">
        <x:v>Reusable animal identity, temperament, care and emergency profile</x:v>
      </x:c>
      <x:c r="E8" s="86" t="str">
        <x:v>Included / partial</x:v>
      </x:c>
      <x:c r="F8" s="86" t="str">
        <x:v>Production permissions and privacy</x:v>
      </x:c>
    </x:row>
    <x:row r="9" ht="34" customHeight="1">
      <x:c r="A9" s="86" t="str">
        <x:v>P005</x:v>
      </x:c>
      <x:c r="B9" s="86" t="str">
        <x:v>Live Animal Observation™</x:v>
      </x:c>
      <x:c r="C9" s="86" t="str">
        <x:v>Pets/Core</x:v>
      </x:c>
      <x:c r="D9" s="86" t="str">
        <x:v>Structured live welfare/behaviour observations</x:v>
      </x:c>
      <x:c r="E9" s="86" t="str">
        <x:v>Paused module</x:v>
      </x:c>
      <x:c r="F9" s="86" t="str">
        <x:v>After Dog Park launch</x:v>
      </x:c>
    </x:row>
    <x:row r="10" ht="34" customHeight="1">
      <x:c r="A10" s="86" t="str">
        <x:v>P006</x:v>
      </x:c>
      <x:c r="B10" s="86" t="str">
        <x:v>Respect My Bubble</x:v>
      </x:c>
      <x:c r="C10" s="86" t="str">
        <x:v>Pets</x:v>
      </x:c>
      <x:c r="D10" s="86" t="str">
        <x:v>Anonymous needs-space communication</x:v>
      </x:c>
      <x:c r="E10" s="86" t="str">
        <x:v>Included / partial</x:v>
      </x:c>
      <x:c r="F10" s="86" t="str">
        <x:v>Test privacy and misuse controls</x:v>
      </x:c>
    </x:row>
    <x:row r="11" ht="34" customHeight="1">
      <x:c r="A11" s="86" t="str">
        <x:v>P007</x:v>
      </x:c>
      <x:c r="B11" s="86" t="str">
        <x:v>Council Dog Park Dashboard</x:v>
      </x:c>
      <x:c r="C11" s="86" t="str">
        <x:v>Pets/Parks</x:v>
      </x:c>
      <x:c r="D11" s="86" t="str">
        <x:v>Maintenance, incidents, faults and anonymised trends</x:v>
      </x:c>
      <x:c r="E11" s="86" t="str">
        <x:v>Paused partner module</x:v>
      </x:c>
      <x:c r="F11" s="86" t="str">
        <x:v>After consumer launch and council discovery</x:v>
      </x:c>
    </x:row>
    <x:row r="12" ht="34" customHeight="1">
      <x:c r="A12" s="86" t="str">
        <x:v>P008</x:v>
      </x:c>
      <x:c r="B12" s="86" t="str">
        <x:v>GENEVIEVE App™ Facilities / Kennels</x:v>
      </x:c>
      <x:c r="C12" s="86" t="str">
        <x:v>Pets/Facilities</x:v>
      </x:c>
      <x:c r="D12" s="86" t="str">
        <x:v>Bookings, rooms, rounds, care, handovers, transport and emergency command</x:v>
      </x:c>
      <x:c r="E12" s="86" t="str">
        <x:v>PAUSED</x:v>
      </x:c>
      <x:c r="F12" s="86" t="str">
        <x:v>Keep proposal; no build work now</x:v>
      </x:c>
    </x:row>
    <x:row r="13" ht="34" customHeight="1">
      <x:c r="A13" s="86" t="str">
        <x:v>P009</x:v>
      </x:c>
      <x:c r="B13" s="86" t="str">
        <x:v>GENEVIEVE App™ Cattery</x:v>
      </x:c>
      <x:c r="C13" s="86" t="str">
        <x:v>Pets/Facilities</x:v>
      </x:c>
      <x:c r="D13" s="86" t="str">
        <x:v>Cat-specific suites, welfare, litter, appetite, hiding and handling workflows</x:v>
      </x:c>
      <x:c r="E13" s="86" t="str">
        <x:v>PAUSED</x:v>
      </x:c>
      <x:c r="F13" s="86" t="str">
        <x:v>Behind Dog Park launch</x:v>
      </x:c>
    </x:row>
    <x:row r="14" ht="34" customHeight="1">
      <x:c r="A14" s="86" t="str">
        <x:v>P010</x:v>
      </x:c>
      <x:c r="B14" s="86" t="str">
        <x:v>Animal shelters and pounds</x:v>
      </x:c>
      <x:c r="C14" s="86" t="str">
        <x:v>Pets</x:v>
      </x:c>
      <x:c r="D14" s="86" t="str">
        <x:v>Intake, welfare, placement, custody and incident workflows</x:v>
      </x:c>
      <x:c r="E14" s="86" t="str">
        <x:v>PAUSED CONCEPT</x:v>
      </x:c>
      <x:c r="F14" s="86" t="str">
        <x:v>Record only</x:v>
      </x:c>
    </x:row>
    <x:row r="15" ht="34" customHeight="1">
      <x:c r="A15" s="86" t="str">
        <x:v>P011</x:v>
      </x:c>
      <x:c r="B15" s="86" t="str">
        <x:v>Veterinary clinics</x:v>
      </x:c>
      <x:c r="C15" s="86" t="str">
        <x:v>Pets/Health</x:v>
      </x:c>
      <x:c r="D15" s="86" t="str">
        <x:v>Appointments, care coordination, alerts and records</x:v>
      </x:c>
      <x:c r="E15" s="86" t="str">
        <x:v>PAUSED CONCEPT</x:v>
      </x:c>
      <x:c r="F15" s="86" t="str">
        <x:v>Record only</x:v>
      </x:c>
    </x:row>
    <x:row r="16" ht="34" customHeight="1">
      <x:c r="A16" s="86" t="str">
        <x:v>P012</x:v>
      </x:c>
      <x:c r="B16" s="86" t="str">
        <x:v>Grooming salons</x:v>
      </x:c>
      <x:c r="C16" s="86" t="str">
        <x:v>Pets</x:v>
      </x:c>
      <x:c r="D16" s="86" t="str">
        <x:v>Bookings, custody, safety and grooming records</x:v>
      </x:c>
      <x:c r="E16" s="86" t="str">
        <x:v>PAUSED CONCEPT</x:v>
      </x:c>
      <x:c r="F16" s="86" t="str">
        <x:v>Record only</x:v>
      </x:c>
    </x:row>
    <x:row r="17" ht="34" customHeight="1">
      <x:c r="A17" s="86" t="str">
        <x:v>P013</x:v>
      </x:c>
      <x:c r="B17" s="86" t="str">
        <x:v>Dog trainers and behaviourists</x:v>
      </x:c>
      <x:c r="C17" s="86" t="str">
        <x:v>Pets</x:v>
      </x:c>
      <x:c r="D17" s="86" t="str">
        <x:v>Behaviour plans, triggers, progress and safety</x:v>
      </x:c>
      <x:c r="E17" s="86" t="str">
        <x:v>PAUSED CONCEPT</x:v>
      </x:c>
      <x:c r="F17" s="86" t="str">
        <x:v>Record only</x:v>
      </x:c>
    </x:row>
    <x:row r="18" ht="34" customHeight="1">
      <x:c r="A18" s="86" t="str">
        <x:v>P014</x:v>
      </x:c>
      <x:c r="B18" s="86" t="str">
        <x:v>Pet sitters</x:v>
      </x:c>
      <x:c r="C18" s="86" t="str">
        <x:v>Pets</x:v>
      </x:c>
      <x:c r="D18" s="86" t="str">
        <x:v>Visit, custody, medication and welfare records</x:v>
      </x:c>
      <x:c r="E18" s="86" t="str">
        <x:v>PAUSED CONCEPT</x:v>
      </x:c>
      <x:c r="F18" s="86" t="str">
        <x:v>Record only</x:v>
      </x:c>
    </x:row>
    <x:row r="19" ht="34" customHeight="1">
      <x:c r="A19" s="86" t="str">
        <x:v>P015</x:v>
      </x:c>
      <x:c r="B19" s="86" t="str">
        <x:v>Pet hotels</x:v>
      </x:c>
      <x:c r="C19" s="86" t="str">
        <x:v>Pets</x:v>
      </x:c>
      <x:c r="D19" s="86" t="str">
        <x:v>Accommodation, care, activities and owner updates</x:v>
      </x:c>
      <x:c r="E19" s="86" t="str">
        <x:v>PAUSED CONCEPT</x:v>
      </x:c>
      <x:c r="F19" s="86" t="str">
        <x:v>Record only</x:v>
      </x:c>
    </x:row>
    <x:row r="20" ht="34" customHeight="1">
      <x:c r="A20" s="86" t="str">
        <x:v>P016</x:v>
      </x:c>
      <x:c r="B20" s="86" t="str">
        <x:v>Pet transport</x:v>
      </x:c>
      <x:c r="C20" s="86" t="str">
        <x:v>Pets</x:v>
      </x:c>
      <x:c r="D20" s="86" t="str">
        <x:v>Vehicle checks, custody, temperature and handovers</x:v>
      </x:c>
      <x:c r="E20" s="86" t="str">
        <x:v>PAUSED CONCEPT</x:v>
      </x:c>
      <x:c r="F20" s="86" t="str">
        <x:v>Record only</x:v>
      </x:c>
    </x:row>
    <x:row r="21" ht="34" customHeight="1">
      <x:c r="A21" s="86" t="str">
        <x:v>P017</x:v>
      </x:c>
      <x:c r="B21" s="86" t="str">
        <x:v>Dog beaches</x:v>
      </x:c>
      <x:c r="C21" s="86" t="str">
        <x:v>Pets/Parks</x:v>
      </x:c>
      <x:c r="D21" s="86" t="str">
        <x:v>Beach rules, tides, heat, facilities and alerts</x:v>
      </x:c>
      <x:c r="E21" s="86" t="str">
        <x:v>Included/limited</x:v>
      </x:c>
      <x:c r="F21" s="86" t="str">
        <x:v>Verify official data</x:v>
      </x:c>
    </x:row>
    <x:row r="22" ht="34" customHeight="1">
      <x:c r="A22" s="86" t="str">
        <x:v>P018</x:v>
      </x:c>
      <x:c r="B22" s="86" t="str">
        <x:v>Agility and sports clubs</x:v>
      </x:c>
      <x:c r="C22" s="86" t="str">
        <x:v>Pets</x:v>
      </x:c>
      <x:c r="D22" s="86" t="str">
        <x:v>Attendance, suitability, incidents and equipment safety</x:v>
      </x:c>
      <x:c r="E22" s="86" t="str">
        <x:v>PAUSED CONCEPT</x:v>
      </x:c>
      <x:c r="F22" s="86" t="str">
        <x:v>Record only</x:v>
      </x:c>
    </x:row>
    <x:row r="23" ht="34" customHeight="1">
      <x:c r="A23" s="86" t="str">
        <x:v>P019</x:v>
      </x:c>
      <x:c r="B23" s="86" t="str">
        <x:v>Animal rescue organisations</x:v>
      </x:c>
      <x:c r="C23" s="86" t="str">
        <x:v>Pets</x:v>
      </x:c>
      <x:c r="D23" s="86" t="str">
        <x:v>Rescue intake, foster, transport and placement</x:v>
      </x:c>
      <x:c r="E23" s="86" t="str">
        <x:v>PAUSED CONCEPT</x:v>
      </x:c>
      <x:c r="F23" s="86" t="str">
        <x:v>Record only</x:v>
      </x:c>
    </x:row>
    <x:row r="24" ht="34" customHeight="1">
      <x:c r="A24" s="86" t="str">
        <x:v>P020</x:v>
      </x:c>
      <x:c r="B24" s="86" t="str">
        <x:v>GENEVIEVE App™ Childcare</x:v>
      </x:c>
      <x:c r="C24" s="86" t="str">
        <x:v>Kids</x:v>
      </x:c>
      <x:c r="D24" s="86" t="str">
        <x:v>Child safety, attendance, tasks, alerts and escalation</x:v>
      </x:c>
      <x:c r="E24" s="86" t="str">
        <x:v>PAUSED</x:v>
      </x:c>
      <x:c r="F24" s="86" t="str">
        <x:v>Behind Dog Park launch</x:v>
      </x:c>
    </x:row>
    <x:row r="25" ht="34" customHeight="1">
      <x:c r="A25" s="86" t="str">
        <x:v>P021</x:v>
      </x:c>
      <x:c r="B25" s="86" t="str">
        <x:v>Before and after school care</x:v>
      </x:c>
      <x:c r="C25" s="86" t="str">
        <x:v>Kids</x:v>
      </x:c>
      <x:c r="D25" s="86" t="str">
        <x:v>Attendance, pickup and safety workflows</x:v>
      </x:c>
      <x:c r="E25" s="86" t="str">
        <x:v>PAUSED CONCEPT</x:v>
      </x:c>
      <x:c r="F25" s="86" t="str">
        <x:v>Record only</x:v>
      </x:c>
    </x:row>
    <x:row r="26" ht="34" customHeight="1">
      <x:c r="A26" s="86" t="str">
        <x:v>P022</x:v>
      </x:c>
      <x:c r="B26" s="86" t="str">
        <x:v>Playgroups</x:v>
      </x:c>
      <x:c r="C26" s="86" t="str">
        <x:v>Kids</x:v>
      </x:c>
      <x:c r="D26" s="86" t="str">
        <x:v>Attendance, guardian and safety workflows</x:v>
      </x:c>
      <x:c r="E26" s="86" t="str">
        <x:v>PAUSED CONCEPT</x:v>
      </x:c>
      <x:c r="F26" s="86" t="str">
        <x:v>Record only</x:v>
      </x:c>
    </x:row>
    <x:row r="27" ht="34" customHeight="1">
      <x:c r="A27" s="86" t="str">
        <x:v>P023</x:v>
      </x:c>
      <x:c r="B27" s="86" t="str">
        <x:v>Youth centres</x:v>
      </x:c>
      <x:c r="C27" s="86" t="str">
        <x:v>Kids</x:v>
      </x:c>
      <x:c r="D27" s="86" t="str">
        <x:v>Attendance, safeguarding and incidents</x:v>
      </x:c>
      <x:c r="E27" s="86" t="str">
        <x:v>PAUSED CONCEPT</x:v>
      </x:c>
      <x:c r="F27" s="86" t="str">
        <x:v>Record only</x:v>
      </x:c>
    </x:row>
    <x:row r="28" ht="34" customHeight="1">
      <x:c r="A28" s="86" t="str">
        <x:v>P024</x:v>
      </x:c>
      <x:c r="B28" s="86" t="str">
        <x:v>Growing Up Coach</x:v>
      </x:c>
      <x:c r="C28" s="86" t="str">
        <x:v>Kids/Education</x:v>
      </x:c>
      <x:c r="D28" s="86" t="str">
        <x:v>Age-appropriate puberty and life-skills guidance</x:v>
      </x:c>
      <x:c r="E28" s="86" t="str">
        <x:v>PAUSED PROTOTYPE</x:v>
      </x:c>
      <x:c r="F28" s="86" t="str">
        <x:v>Specialist child-safety review later</x:v>
      </x:c>
    </x:row>
    <x:row r="29" ht="34" customHeight="1">
      <x:c r="A29" s="86" t="str">
        <x:v>P025</x:v>
      </x:c>
      <x:c r="B29" s="86" t="str">
        <x:v>GENEVIEVE Health - aged care</x:v>
      </x:c>
      <x:c r="C29" s="86" t="str">
        <x:v>Health</x:v>
      </x:c>
      <x:c r="D29" s="86" t="str">
        <x:v>Resident care, alerts, escalation and accountability</x:v>
      </x:c>
      <x:c r="E29" s="86" t="str">
        <x:v>PAUSED CONCEPT</x:v>
      </x:c>
      <x:c r="F29" s="86" t="str">
        <x:v>Record only</x:v>
      </x:c>
    </x:row>
    <x:row r="30" ht="34" customHeight="1">
      <x:c r="A30" s="86" t="str">
        <x:v>P026</x:v>
      </x:c>
      <x:c r="B30" s="86" t="str">
        <x:v>GENEVIEVE Health - hospitals</x:v>
      </x:c>
      <x:c r="C30" s="86" t="str">
        <x:v>Health</x:v>
      </x:c>
      <x:c r="D30" s="86" t="str">
        <x:v>Clinical-support alerts and workflows</x:v>
      </x:c>
      <x:c r="E30" s="86" t="str">
        <x:v>PAUSED CONCEPT</x:v>
      </x:c>
      <x:c r="F30" s="86" t="str">
        <x:v>Do not develop without health governance</x:v>
      </x:c>
    </x:row>
    <x:row r="31" ht="34" customHeight="1">
      <x:c r="A31" s="86" t="str">
        <x:v>P027</x:v>
      </x:c>
      <x:c r="B31" s="86" t="str">
        <x:v>Disability support providers</x:v>
      </x:c>
      <x:c r="C31" s="86" t="str">
        <x:v>Health</x:v>
      </x:c>
      <x:c r="D31" s="86" t="str">
        <x:v>Support tasks, safety, escalation and evidence</x:v>
      </x:c>
      <x:c r="E31" s="86" t="str">
        <x:v>PAUSED CONCEPT</x:v>
      </x:c>
      <x:c r="F31" s="86" t="str">
        <x:v>Record only</x:v>
      </x:c>
    </x:row>
    <x:row r="32" ht="34" customHeight="1">
      <x:c r="A32" s="86" t="str">
        <x:v>P028</x:v>
      </x:c>
      <x:c r="B32" s="86" t="str">
        <x:v>Rehabilitation centres</x:v>
      </x:c>
      <x:c r="C32" s="86" t="str">
        <x:v>Health</x:v>
      </x:c>
      <x:c r="D32" s="86" t="str">
        <x:v>Plans, tasks and safety monitoring</x:v>
      </x:c>
      <x:c r="E32" s="86" t="str">
        <x:v>PAUSED CONCEPT</x:v>
      </x:c>
      <x:c r="F32" s="86" t="str">
        <x:v>Record only</x:v>
      </x:c>
    </x:row>
    <x:row r="33" ht="34" customHeight="1">
      <x:c r="A33" s="86" t="str">
        <x:v>P029</x:v>
      </x:c>
      <x:c r="B33" s="86" t="str">
        <x:v>Mental health facilities</x:v>
      </x:c>
      <x:c r="C33" s="86" t="str">
        <x:v>Health</x:v>
      </x:c>
      <x:c r="D33" s="86" t="str">
        <x:v>Safety and care coordination concepts</x:v>
      </x:c>
      <x:c r="E33" s="86" t="str">
        <x:v>PAUSED CONCEPT</x:v>
      </x:c>
      <x:c r="F33" s="86" t="str">
        <x:v>Record only</x:v>
      </x:c>
    </x:row>
    <x:row r="34" ht="34" customHeight="1">
      <x:c r="A34" s="86" t="str">
        <x:v>P030</x:v>
      </x:c>
      <x:c r="B34" s="86" t="str">
        <x:v>GENEVIEVE Wellness</x:v>
      </x:c>
      <x:c r="C34" s="86" t="str">
        <x:v>Health</x:v>
      </x:c>
      <x:c r="D34" s="86" t="str">
        <x:v>General wellness concept</x:v>
      </x:c>
      <x:c r="E34" s="86" t="str">
        <x:v>PAUSED CONCEPT</x:v>
      </x:c>
      <x:c r="F34" s="86" t="str">
        <x:v>Define later</x:v>
      </x:c>
    </x:row>
    <x:row r="35" ht="34" customHeight="1">
      <x:c r="A35" s="86" t="str">
        <x:v>P031</x:v>
      </x:c>
      <x:c r="B35" s="86" t="str">
        <x:v>Schools</x:v>
      </x:c>
      <x:c r="C35" s="86" t="str">
        <x:v>Education</x:v>
      </x:c>
      <x:c r="D35" s="86" t="str">
        <x:v>Attendance, safety, tasks and emergency coordination</x:v>
      </x:c>
      <x:c r="E35" s="86" t="str">
        <x:v>PAUSED CONCEPT</x:v>
      </x:c>
      <x:c r="F35" s="86" t="str">
        <x:v>Record only</x:v>
      </x:c>
    </x:row>
    <x:row r="36" ht="34" customHeight="1">
      <x:c r="A36" s="86" t="str">
        <x:v>P032</x:v>
      </x:c>
      <x:c r="B36" s="86" t="str">
        <x:v>Boarding schools</x:v>
      </x:c>
      <x:c r="C36" s="86" t="str">
        <x:v>Education</x:v>
      </x:c>
      <x:c r="D36" s="86" t="str">
        <x:v>Residential student safety and care workflows</x:v>
      </x:c>
      <x:c r="E36" s="86" t="str">
        <x:v>PAUSED CONCEPT</x:v>
      </x:c>
      <x:c r="F36" s="86" t="str">
        <x:v>Record only</x:v>
      </x:c>
    </x:row>
    <x:row r="37" ht="34" customHeight="1">
      <x:c r="A37" s="86" t="str">
        <x:v>P033</x:v>
      </x:c>
      <x:c r="B37" s="86" t="str">
        <x:v>Universities</x:v>
      </x:c>
      <x:c r="C37" s="86" t="str">
        <x:v>Education</x:v>
      </x:c>
      <x:c r="D37" s="86" t="str">
        <x:v>Campus alerts, welfare and emergency coordination</x:v>
      </x:c>
      <x:c r="E37" s="86" t="str">
        <x:v>PAUSED CONCEPT</x:v>
      </x:c>
      <x:c r="F37" s="86" t="str">
        <x:v>Record only</x:v>
      </x:c>
    </x:row>
    <x:row r="38" ht="34" customHeight="1">
      <x:c r="A38" s="86" t="str">
        <x:v>P034</x:v>
      </x:c>
      <x:c r="B38" s="86" t="str">
        <x:v>Student accommodation</x:v>
      </x:c>
      <x:c r="C38" s="86" t="str">
        <x:v>Education/Home</x:v>
      </x:c>
      <x:c r="D38" s="86" t="str">
        <x:v>Resident safety and incident workflows</x:v>
      </x:c>
      <x:c r="E38" s="86" t="str">
        <x:v>PAUSED CONCEPT</x:v>
      </x:c>
      <x:c r="F38" s="86" t="str">
        <x:v>Record only</x:v>
      </x:c>
    </x:row>
    <x:row r="39" ht="34" customHeight="1">
      <x:c r="A39" s="86" t="str">
        <x:v>P035</x:v>
      </x:c>
      <x:c r="B39" s="86" t="str">
        <x:v>Office buildings</x:v>
      </x:c>
      <x:c r="C39" s="86" t="str">
        <x:v>Work</x:v>
      </x:c>
      <x:c r="D39" s="86" t="str">
        <x:v>Safety, tasks, incidents and evacuation</x:v>
      </x:c>
      <x:c r="E39" s="86" t="str">
        <x:v>PAUSED CONCEPT</x:v>
      </x:c>
      <x:c r="F39" s="86" t="str">
        <x:v>Record only</x:v>
      </x:c>
    </x:row>
    <x:row r="40" ht="34" customHeight="1">
      <x:c r="A40" s="86" t="str">
        <x:v>P036</x:v>
      </x:c>
      <x:c r="B40" s="86" t="str">
        <x:v>Factories and warehouses</x:v>
      </x:c>
      <x:c r="C40" s="86" t="str">
        <x:v>Work</x:v>
      </x:c>
      <x:c r="D40" s="86" t="str">
        <x:v>WHS, stock, hazards and escalation</x:v>
      </x:c>
      <x:c r="E40" s="86" t="str">
        <x:v>PAUSED CONCEPT</x:v>
      </x:c>
      <x:c r="F40" s="86" t="str">
        <x:v>Record only</x:v>
      </x:c>
    </x:row>
    <x:row r="41" ht="34" customHeight="1">
      <x:c r="A41" s="86" t="str">
        <x:v>P037</x:v>
      </x:c>
      <x:c r="B41" s="86" t="str">
        <x:v>Construction sites</x:v>
      </x:c>
      <x:c r="C41" s="86" t="str">
        <x:v>Work</x:v>
      </x:c>
      <x:c r="D41" s="86" t="str">
        <x:v>WHS, risk, tasks, plant and escalation</x:v>
      </x:c>
      <x:c r="E41" s="86" t="str">
        <x:v>PAUSED CONCEPT</x:v>
      </x:c>
      <x:c r="F41" s="86" t="str">
        <x:v>Record only</x:v>
      </x:c>
    </x:row>
    <x:row r="42" ht="34" customHeight="1">
      <x:c r="A42" s="86" t="str">
        <x:v>P038</x:v>
      </x:c>
      <x:c r="B42" s="86" t="str">
        <x:v>Mining sites</x:v>
      </x:c>
      <x:c r="C42" s="86" t="str">
        <x:v>Work</x:v>
      </x:c>
      <x:c r="D42" s="86" t="str">
        <x:v>High-risk safety and emergency workflows</x:v>
      </x:c>
      <x:c r="E42" s="86" t="str">
        <x:v>PAUSED CONCEPT</x:v>
      </x:c>
      <x:c r="F42" s="86" t="str">
        <x:v>Record only</x:v>
      </x:c>
    </x:row>
    <x:row r="43" ht="34" customHeight="1">
      <x:c r="A43" s="86" t="str">
        <x:v>P039</x:v>
      </x:c>
      <x:c r="B43" s="86" t="str">
        <x:v>Waterproofing safety app</x:v>
      </x:c>
      <x:c r="C43" s="86" t="str">
        <x:v>Work/Construction</x:v>
      </x:c>
      <x:c r="D43" s="86" t="str">
        <x:v>Job planning, safety, materials and evidence</x:v>
      </x:c>
      <x:c r="E43" s="86" t="str">
        <x:v>PAUSED PROTOTYPE</x:v>
      </x:c>
      <x:c r="F43" s="86" t="str">
        <x:v>Behind Dog Park</x:v>
      </x:c>
    </x:row>
    <x:row r="44" ht="34" customHeight="1">
      <x:c r="A44" s="86" t="str">
        <x:v>P040</x:v>
      </x:c>
      <x:c r="B44" s="86" t="str">
        <x:v>Painting operations app</x:v>
      </x:c>
      <x:c r="C44" s="86" t="str">
        <x:v>Work/Construction</x:v>
      </x:c>
      <x:c r="D44" s="86" t="str">
        <x:v>Quotes, job flow, safety, quality and evidence</x:v>
      </x:c>
      <x:c r="E44" s="86" t="str">
        <x:v>PAUSED PROPOSAL</x:v>
      </x:c>
      <x:c r="F44" s="86" t="str">
        <x:v>Behind Dog Park</x:v>
      </x:c>
    </x:row>
    <x:row r="45" ht="34" customHeight="1">
      <x:c r="A45" s="86" t="str">
        <x:v>P041</x:v>
      </x:c>
      <x:c r="B45" s="86" t="str">
        <x:v>House move / furniture lift platform</x:v>
      </x:c>
      <x:c r="C45" s="86" t="str">
        <x:v>Work/Logistics</x:v>
      </x:c>
      <x:c r="D45" s="86" t="str">
        <x:v>Appointments, site risk and lift/hoist workflow</x:v>
      </x:c>
      <x:c r="E45" s="86" t="str">
        <x:v>PAUSED CONCEPT</x:v>
      </x:c>
      <x:c r="F45" s="86" t="str">
        <x:v>Record only</x:v>
      </x:c>
    </x:row>
    <x:row r="46" ht="34" customHeight="1">
      <x:c r="A46" s="86" t="str">
        <x:v>P042</x:v>
      </x:c>
      <x:c r="B46" s="86" t="str">
        <x:v>Cross-industry risk assessments</x:v>
      </x:c>
      <x:c r="C46" s="86" t="str">
        <x:v>Work/Core</x:v>
      </x:c>
      <x:c r="D46" s="86" t="str">
        <x:v>Configurable risk assessment and escalation grids</x:v>
      </x:c>
      <x:c r="E46" s="86" t="str">
        <x:v>PAUSED CONCEPT</x:v>
      </x:c>
      <x:c r="F46" s="86" t="str">
        <x:v>Record only</x:v>
      </x:c>
    </x:row>
    <x:row r="47" ht="34" customHeight="1">
      <x:c r="A47" s="86" t="str">
        <x:v>P043</x:v>
      </x:c>
      <x:c r="B47" s="86" t="str">
        <x:v>Public parks</x:v>
      </x:c>
      <x:c r="C47" s="86" t="str">
        <x:v>Parks</x:v>
      </x:c>
      <x:c r="D47" s="86" t="str">
        <x:v>Maintenance, safety, users and incidents</x:v>
      </x:c>
      <x:c r="E47" s="86" t="str">
        <x:v>PAUSED CONCEPT</x:v>
      </x:c>
      <x:c r="F47" s="86" t="str">
        <x:v>Record only</x:v>
      </x:c>
    </x:row>
    <x:row r="48" ht="34" customHeight="1">
      <x:c r="A48" s="86" t="str">
        <x:v>P044</x:v>
      </x:c>
      <x:c r="B48" s="86" t="str">
        <x:v>Camping grounds</x:v>
      </x:c>
      <x:c r="C48" s="86" t="str">
        <x:v>Parks/Travel</x:v>
      </x:c>
      <x:c r="D48" s="86" t="str">
        <x:v>Guest, animal, facility and emergency information</x:v>
      </x:c>
      <x:c r="E48" s="86" t="str">
        <x:v>PAUSED CONCEPT</x:v>
      </x:c>
      <x:c r="F48" s="86" t="str">
        <x:v>Record only</x:v>
      </x:c>
    </x:row>
    <x:row r="49" ht="34" customHeight="1">
      <x:c r="A49" s="86" t="str">
        <x:v>P045</x:v>
      </x:c>
      <x:c r="B49" s="86" t="str">
        <x:v>Caravan parks</x:v>
      </x:c>
      <x:c r="C49" s="86" t="str">
        <x:v>Parks/Travel</x:v>
      </x:c>
      <x:c r="D49" s="86" t="str">
        <x:v>Guest, pet and facility safety</x:v>
      </x:c>
      <x:c r="E49" s="86" t="str">
        <x:v>PAUSED CONCEPT</x:v>
      </x:c>
      <x:c r="F49" s="86" t="str">
        <x:v>Record only</x:v>
      </x:c>
    </x:row>
    <x:row r="50" ht="34" customHeight="1">
      <x:c r="A50" s="86" t="str">
        <x:v>P046</x:v>
      </x:c>
      <x:c r="B50" s="86" t="str">
        <x:v>Sports clubs</x:v>
      </x:c>
      <x:c r="C50" s="86" t="str">
        <x:v>Parks</x:v>
      </x:c>
      <x:c r="D50" s="86" t="str">
        <x:v>Attendance, facilities and incidents</x:v>
      </x:c>
      <x:c r="E50" s="86" t="str">
        <x:v>PAUSED CONCEPT</x:v>
      </x:c>
      <x:c r="F50" s="86" t="str">
        <x:v>Record only</x:v>
      </x:c>
    </x:row>
    <x:row r="51" ht="34" customHeight="1">
      <x:c r="A51" s="86" t="str">
        <x:v>P047</x:v>
      </x:c>
      <x:c r="B51" s="86" t="str">
        <x:v>Swimming pools and recreation centres</x:v>
      </x:c>
      <x:c r="C51" s="86" t="str">
        <x:v>Parks</x:v>
      </x:c>
      <x:c r="D51" s="86" t="str">
        <x:v>Safety checks and emergency escalation</x:v>
      </x:c>
      <x:c r="E51" s="86" t="str">
        <x:v>PAUSED CONCEPT</x:v>
      </x:c>
      <x:c r="F51" s="86" t="str">
        <x:v>Record only</x:v>
      </x:c>
    </x:row>
    <x:row r="52" ht="34" customHeight="1">
      <x:c r="A52" s="86" t="str">
        <x:v>P048</x:v>
      </x:c>
      <x:c r="B52" s="86" t="str">
        <x:v>Natural disaster alerts</x:v>
      </x:c>
      <x:c r="C52" s="86" t="str">
        <x:v>Emergency</x:v>
      </x:c>
      <x:c r="D52" s="86" t="str">
        <x:v>Official-source bushfire, flood and disaster coordination</x:v>
      </x:c>
      <x:c r="E52" s="86" t="str">
        <x:v>PAUSED CONCEPT</x:v>
      </x:c>
      <x:c r="F52" s="86" t="str">
        <x:v>Requires government integration</x:v>
      </x:c>
    </x:row>
    <x:row r="53" ht="34" customHeight="1">
      <x:c r="A53" s="86" t="str">
        <x:v>P049</x:v>
      </x:c>
      <x:c r="B53" s="86" t="str">
        <x:v>Community evacuation management</x:v>
      </x:c>
      <x:c r="C53" s="86" t="str">
        <x:v>Emergency</x:v>
      </x:c>
      <x:c r="D53" s="86" t="str">
        <x:v>Vulnerable people/animals, routes and accountability</x:v>
      </x:c>
      <x:c r="E53" s="86" t="str">
        <x:v>PAUSED CONCEPT</x:v>
      </x:c>
      <x:c r="F53" s="86" t="str">
        <x:v>Requires emergency governance</x:v>
      </x:c>
    </x:row>
    <x:row r="54" ht="34" customHeight="1">
      <x:c r="A54" s="86" t="str">
        <x:v>P050</x:v>
      </x:c>
      <x:c r="B54" s="86" t="str">
        <x:v>Apartment complexes</x:v>
      </x:c>
      <x:c r="C54" s="86" t="str">
        <x:v>Home</x:v>
      </x:c>
      <x:c r="D54" s="86" t="str">
        <x:v>Resident, visitor, facility and emergency workflows</x:v>
      </x:c>
      <x:c r="E54" s="86" t="str">
        <x:v>PAUSED CONCEPT</x:v>
      </x:c>
      <x:c r="F54" s="86" t="str">
        <x:v>Record only</x:v>
      </x:c>
    </x:row>
    <x:row r="55" ht="34" customHeight="1">
      <x:c r="A55" s="86" t="str">
        <x:v>P051</x:v>
      </x:c>
      <x:c r="B55" s="86" t="str">
        <x:v>Retirement villages</x:v>
      </x:c>
      <x:c r="C55" s="86" t="str">
        <x:v>Home/Health</x:v>
      </x:c>
      <x:c r="D55" s="86" t="str">
        <x:v>Resident safety and services</x:v>
      </x:c>
      <x:c r="E55" s="86" t="str">
        <x:v>PAUSED CONCEPT</x:v>
      </x:c>
      <x:c r="F55" s="86" t="str">
        <x:v>Record only</x:v>
      </x:c>
    </x:row>
    <x:row r="56" ht="34" customHeight="1">
      <x:c r="A56" s="86" t="str">
        <x:v>P052</x:v>
      </x:c>
      <x:c r="B56" s="86" t="str">
        <x:v>Gated communities</x:v>
      </x:c>
      <x:c r="C56" s="86" t="str">
        <x:v>Home</x:v>
      </x:c>
      <x:c r="D56" s="86" t="str">
        <x:v>Access, incidents and emergency communication</x:v>
      </x:c>
      <x:c r="E56" s="86" t="str">
        <x:v>PAUSED CONCEPT</x:v>
      </x:c>
      <x:c r="F56" s="86" t="str">
        <x:v>Record only</x:v>
      </x:c>
    </x:row>
    <x:row r="57" ht="34" customHeight="1">
      <x:c r="A57" s="86" t="str">
        <x:v>P053</x:v>
      </x:c>
      <x:c r="B57" s="86" t="str">
        <x:v>Holiday resorts</x:v>
      </x:c>
      <x:c r="C57" s="86" t="str">
        <x:v>Home/Parks</x:v>
      </x:c>
      <x:c r="D57" s="86" t="str">
        <x:v>Guest, facility and safety workflows</x:v>
      </x:c>
      <x:c r="E57" s="86" t="str">
        <x:v>PAUSED CONCEPT</x:v>
      </x:c>
      <x:c r="F57" s="86" t="str">
        <x:v>Record only</x:v>
      </x:c>
    </x:row>
    <x:row r="58" ht="34" customHeight="1">
      <x:c r="A58" s="86" t="str">
        <x:v>P054</x:v>
      </x:c>
      <x:c r="B58" s="86" t="str">
        <x:v>Fire/police/hospital/military integration</x:v>
      </x:c>
      <x:c r="C58" s="86" t="str">
        <x:v>Safety</x:v>
      </x:c>
      <x:c r="D58" s="86" t="str">
        <x:v>First-responder and infrastructure intelligence</x:v>
      </x:c>
      <x:c r="E58" s="86" t="str">
        <x:v>PAUSED CONCEPT</x:v>
      </x:c>
      <x:c r="F58" s="86" t="str">
        <x:v>No development without authority partners</x:v>
      </x:c>
    </x:row>
    <x:row r="59" ht="34" customHeight="1">
      <x:c r="A59" s="86" t="str">
        <x:v>P055</x:v>
      </x:c>
      <x:c r="B59" s="86" t="str">
        <x:v>Stock Sense</x:v>
      </x:c>
      <x:c r="C59" s="86" t="str">
        <x:v>Inventory</x:v>
      </x:c>
      <x:c r="D59" s="86" t="str">
        <x:v>Inventory, expiry, wastage and low-stock intelligence</x:v>
      </x:c>
      <x:c r="E59" s="86" t="str">
        <x:v>PAUSED</x:v>
      </x:c>
      <x:c r="F59" s="86" t="str">
        <x:v>Behind Dog Park launch</x:v>
      </x:c>
    </x:row>
    <x:row r="60" ht="34" customHeight="1">
      <x:c r="A60" s="86" t="str">
        <x:v>P056</x:v>
      </x:c>
      <x:c r="B60" s="86" t="str">
        <x:v>Food Safety / pantry and recipe app</x:v>
      </x:c>
      <x:c r="C60" s="86" t="str">
        <x:v>Food</x:v>
      </x:c>
      <x:c r="D60" s="86" t="str">
        <x:v>Photo-based stock, coeliac safety, recipes and shopping</x:v>
      </x:c>
      <x:c r="E60" s="86" t="str">
        <x:v>PAUSED PROTOTYPE</x:v>
      </x:c>
      <x:c r="F60" s="86" t="str">
        <x:v>Personal-use project later</x:v>
      </x:c>
    </x:row>
    <x:row r="61" ht="34" customHeight="1">
      <x:c r="A61" s="86" t="str">
        <x:v>P057</x:v>
      </x:c>
      <x:c r="B61" s="86" t="str">
        <x:v>Grocery comparison assistant</x:v>
      </x:c>
      <x:c r="C61" s="86" t="str">
        <x:v>Food/Retail</x:v>
      </x:c>
      <x:c r="D61" s="86" t="str">
        <x:v>Coles/Woolworths price comparison and coeliac filtering</x:v>
      </x:c>
      <x:c r="E61" s="86" t="str">
        <x:v>PAUSED PROTOTYPE</x:v>
      </x:c>
      <x:c r="F61" s="86" t="str">
        <x:v>Personal-use project later</x:v>
      </x:c>
    </x:row>
    <x:row r="62" ht="34" customHeight="1">
      <x:c r="A62" s="86" t="str">
        <x:v>P058</x:v>
      </x:c>
      <x:c r="B62" s="86" t="str">
        <x:v>Bag Station</x:v>
      </x:c>
      <x:c r="C62" s="86" t="str">
        <x:v>Parks/Device</x:v>
      </x:c>
      <x:c r="D62" s="86" t="str">
        <x:v>Dog waste bag dispensing, opening and telemetry concept</x:v>
      </x:c>
      <x:c r="E62" s="86" t="str">
        <x:v>PAUSED PROTOTYPE</x:v>
      </x:c>
      <x:c r="F62" s="86" t="str">
        <x:v>Record only</x:v>
      </x:c>
    </x:row>
    <x:row r="63" ht="34" customHeight="1">
      <x:c r="A63" s="86" t="str">
        <x:v>P059</x:v>
      </x:c>
      <x:c r="B63" s="86" t="str">
        <x:v>Garbage truck/bin-day alert</x:v>
      </x:c>
      <x:c r="C63" s="86" t="str">
        <x:v>Home/Council</x:v>
      </x:c>
      <x:c r="D63" s="86" t="str">
        <x:v>Real-time approaching truck and schedule alerts</x:v>
      </x:c>
      <x:c r="E63" s="86" t="str">
        <x:v>PAUSED CONCEPT</x:v>
      </x:c>
      <x:c r="F63" s="86" t="str">
        <x:v>Record only</x:v>
      </x:c>
    </x:row>
    <x:row r="64" ht="34" customHeight="1">
      <x:c r="A64" s="86" t="str">
        <x:v>P060</x:v>
      </x:c>
      <x:c r="B64" s="86" t="str">
        <x:v>Body shaver / grooming device</x:v>
      </x:c>
      <x:c r="C64" s="86" t="str">
        <x:v>Device/Wellness</x:v>
      </x:c>
      <x:c r="D64" s="86" t="str">
        <x:v>Automated grooming/body-shaving concepts</x:v>
      </x:c>
      <x:c r="E64" s="86" t="str">
        <x:v>PAUSED CONCEPT</x:v>
      </x:c>
      <x:c r="F64" s="86" t="str">
        <x:v>Record only</x:v>
      </x:c>
    </x:row>
    <x:row r="65" ht="34" customHeight="1">
      <x:c r="A65" s="86" t="str">
        <x:v>P061</x:v>
      </x:c>
      <x:c r="B65" s="86" t="str">
        <x:v>Grooming booth</x:v>
      </x:c>
      <x:c r="C65" s="86" t="str">
        <x:v>Device/Pets</x:v>
      </x:c>
      <x:c r="D65" s="86" t="str">
        <x:v>Automated or assisted grooming concept</x:v>
      </x:c>
      <x:c r="E65" s="86" t="str">
        <x:v>PAUSED CONCEPT</x:v>
      </x:c>
      <x:c r="F65" s="86" t="str">
        <x:v>Record only</x:v>
      </x:c>
    </x:row>
    <x:row r="66" ht="34" customHeight="1">
      <x:c r="A66" s="86" t="str">
        <x:v>P062</x:v>
      </x:c>
      <x:c r="B66" s="86" t="str">
        <x:v>Home/IoT safety integration</x:v>
      </x:c>
      <x:c r="C66" s="86" t="str">
        <x:v>Home/Core</x:v>
      </x:c>
      <x:c r="D66" s="86" t="str">
        <x:v>Appliance, fish tank and household alerts</x:v>
      </x:c>
      <x:c r="E66" s="86" t="str">
        <x:v>PAUSED CONCEPT</x:v>
      </x:c>
      <x:c r="F66" s="86" t="str">
        <x:v>Record only</x:v>
      </x:c>
    </x:row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F1"/>
    <x:mergeCell ref="A2:F2"/>
  </x:mergeCells>
  <x:conditionalFormatting sqref="E5:E66">
    <x:cfRule type="expression" dxfId="12" priority="1">
      <x:formula>OR(ISNUMBER(SEARCH("ACTIVE",E5)),ISNUMBER(SEARCH("Complete",E5)),ISNUMBER(SEARCH("Prepared",E5)))</x:formula>
    </x:cfRule>
    <x:cfRule type="expression" dxfId="13" priority="2">
      <x:formula>ISNUMBER(SEARCH("Paused",E5))</x:formula>
    </x:cfRule>
    <x:cfRule type="expression" dxfId="14" priority="3">
      <x:formula>OR(ISNUMBER(SEARCH("Blocked",E5)),ISNUMBER(SEARCH("Urgent",E5)))</x:formula>
    </x:cfRule>
    <x:cfRule type="expression" dxfId="15" priority="4">
      <x:formula>OR(ISNUMBER(SEARCH("In Progress",E5)),ISNUMBER(SEARCH("Review",E5)))</x:formula>
    </x:cfRule>
  </x:conditionalFormatting>
  <x:dataValidations count="1">
    <x:dataValidation type="list" sqref="E5:E104">
      <x:formula1>"ACTIVE,Active - Dog Park only,Included in active product,Included / partial,Paused,Paused module,Paused partner module,Concept recorded,Complete"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50313454154e3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4" hidden="0" customWidth="1"/>
    <x:col min="4" max="4" width="55" hidden="0" customWidth="1"/>
    <x:col min="5" max="5" width="24" hidden="0" customWidth="1"/>
    <x:col min="6" max="6" width="48" hidden="0" customWidth="1"/>
  </x:cols>
  <x:sheetData>
    <x:row r="1" ht="30" customHeight="1">
      <x:c r="A1" s="4" t="str">
        <x:v>IP Asset Register</x:v>
      </x:c>
      <x:c r="B1" s="4"/>
      <x:c r="C1" s="4"/>
      <x:c r="D1" s="4"/>
      <x:c r="E1" s="4"/>
      <x:c r="F1" s="4"/>
    </x:row>
    <x:row r="2" ht="28" customHeight="1">
      <x:c r="A2" s="10" t="str">
        <x:v>Working register only. Filing status, ownership and deadlines require professional confirmation.</x:v>
      </x:c>
      <x:c r="B2" s="10"/>
      <x:c r="C2" s="10"/>
      <x:c r="D2" s="10"/>
      <x:c r="E2" s="10"/>
      <x:c r="F2" s="10"/>
    </x:row>
    <x:row r="4" ht="28" customHeight="1">
      <x:c r="A4" s="155" t="str">
        <x:v>Asset ID</x:v>
      </x:c>
      <x:c r="B4" s="155" t="str">
        <x:v>Asset</x:v>
      </x:c>
      <x:c r="C4" s="155" t="str">
        <x:v>IP Type</x:v>
      </x:c>
      <x:c r="D4" s="155" t="str">
        <x:v>Description</x:v>
      </x:c>
      <x:c r="E4" s="155" t="str">
        <x:v>Status</x:v>
      </x:c>
      <x:c r="F4" s="155" t="str">
        <x:v>Next Action</x:v>
      </x:c>
    </x:row>
    <x:row r="5" ht="34" customHeight="1">
      <x:c r="A5" s="86" t="str">
        <x:v>IP-001</x:v>
      </x:c>
      <x:c r="B5" s="86" t="str">
        <x:v>GENEVIEVE App™ word mark</x:v>
      </x:c>
      <x:c r="C5" s="86" t="str">
        <x:v>Trade mark</x:v>
      </x:c>
      <x:c r="D5" s="86" t="str">
        <x:v>Application 2667222; pending</x:v>
      </x:c>
      <x:c r="E5" s="86" t="str">
        <x:v>Active/under application</x:v>
      </x:c>
      <x:c r="F5" s="86" t="str">
        <x:v>Use ™; monitor examination; do not use ® until registered</x:v>
      </x:c>
    </x:row>
    <x:row r="6" ht="34" customHeight="1">
      <x:c r="A6" s="86" t="str">
        <x:v>IP-002</x:v>
      </x:c>
      <x:c r="B6" s="86" t="str">
        <x:v>Official GA logo</x:v>
      </x:c>
      <x:c r="C6" s="86" t="str">
        <x:v>Copyright / trade mark asset</x:v>
      </x:c>
      <x:c r="D6" s="86" t="str">
        <x:v>Gold A #C9A227; black centred G #111111; approved proportions</x:v>
      </x:c>
      <x:c r="E6" s="86" t="str">
        <x:v>Locked master asset</x:v>
      </x:c>
      <x:c r="F6" s="86" t="str">
        <x:v>Preserve source files; image search; consider separate logo mark filing</x:v>
      </x:c>
    </x:row>
    <x:row r="7" ht="34" customHeight="1">
      <x:c r="A7" s="86" t="str">
        <x:v>IP-003</x:v>
      </x:c>
      <x:c r="B7" s="86" t="str">
        <x:v>GENEVIEVE tree logo</x:v>
      </x:c>
      <x:c r="C7" s="86" t="str">
        <x:v>Copyright / brand asset</x:v>
      </x:c>
      <x:c r="D7" s="86" t="str">
        <x:v>Exact approved uploaded tree logo</x:v>
      </x:c>
      <x:c r="E7" s="86" t="str">
        <x:v>Locked master asset</x:v>
      </x:c>
      <x:c r="F7" s="86" t="str">
        <x:v>Preserve original and usage rules</x:v>
      </x:c>
    </x:row>
    <x:row r="8" ht="34" customHeight="1">
      <x:c r="A8" s="86" t="str">
        <x:v>IP-004</x:v>
      </x:c>
      <x:c r="B8" s="86" t="str">
        <x:v>Dog Park application source code</x:v>
      </x:c>
      <x:c r="C8" s="86" t="str">
        <x:v>Copyright / software</x:v>
      </x:c>
      <x:c r="D8" s="86" t="str">
        <x:v>Static MVP and future production code</x:v>
      </x:c>
      <x:c r="E8" s="86" t="str">
        <x:v>Active launch asset</x:v>
      </x:c>
      <x:c r="F8" s="86" t="str">
        <x:v>Version control; contractor assignments; source archive</x:v>
      </x:c>
    </x:row>
    <x:row r="9" ht="34" customHeight="1">
      <x:c r="A9" s="86" t="str">
        <x:v>IP-005</x:v>
      </x:c>
      <x:c r="B9" s="86" t="str">
        <x:v>Dog Park design system</x:v>
      </x:c>
      <x:c r="C9" s="86" t="str">
        <x:v>Copyright / design</x:v>
      </x:c>
      <x:c r="D9" s="86" t="str">
        <x:v>Calm mobile layout, three green layers and labelled alert system</x:v>
      </x:c>
      <x:c r="E9" s="86" t="str">
        <x:v>Documented</x:v>
      </x:c>
      <x:c r="F9" s="86" t="str">
        <x:v>Maintain design spec and dated screenshots</x:v>
      </x:c>
    </x:row>
    <x:row r="10" ht="34" customHeight="1">
      <x:c r="A10" s="86" t="str">
        <x:v>IP-006</x:v>
      </x:c>
      <x:c r="B10" s="86" t="str">
        <x:v>Real-time animal social compatibility system</x:v>
      </x:c>
      <x:c r="C10" s="86" t="str">
        <x:v>Patent / invention</x:v>
      </x:c>
      <x:c r="D10" s="86" t="str">
        <x:v>Computer-Implemented System and Method for Real-Time Animal Social Compatibility and Location-Based Interaction</x:v>
      </x:c>
      <x:c r="E10" s="86" t="str">
        <x:v>Provisional patent stated by owner</x:v>
      </x:c>
      <x:c r="F10" s="86" t="str">
        <x:v>Confirm filing details/deadlines with patent attorney; invention disclosure</x:v>
      </x:c>
    </x:row>
    <x:row r="11" ht="34" customHeight="1">
      <x:c r="A11" s="86" t="str">
        <x:v>IP-007</x:v>
      </x:c>
      <x:c r="B11" s="86" t="str">
        <x:v>Respect My Bubble / needs-space workflow</x:v>
      </x:c>
      <x:c r="C11" s="86" t="str">
        <x:v>Workflow / software / know-how</x:v>
      </x:c>
      <x:c r="D11" s="86" t="str">
        <x:v>Anonymous space request and behaviour-status prompts</x:v>
      </x:c>
      <x:c r="E11" s="86" t="str">
        <x:v>Prototype</x:v>
      </x:c>
      <x:c r="F11" s="86" t="str">
        <x:v>Record logic, naming, dates and testing evidence</x:v>
      </x:c>
    </x:row>
    <x:row r="12" ht="34" customHeight="1">
      <x:c r="A12" s="86" t="str">
        <x:v>IP-008</x:v>
      </x:c>
      <x:c r="B12" s="86" t="str">
        <x:v>Pre-Arrival Dog Park Planner</x:v>
      </x:c>
      <x:c r="C12" s="86" t="str">
        <x:v>Workflow / software</x:v>
      </x:c>
      <x:c r="D12" s="86" t="str">
        <x:v>Dog/park condition matching before arrival</x:v>
      </x:c>
      <x:c r="E12" s="86" t="str">
        <x:v>Prototype</x:v>
      </x:c>
      <x:c r="F12" s="86" t="str">
        <x:v>Document rules and data provenance</x:v>
      </x:c>
    </x:row>
    <x:row r="13" ht="34" customHeight="1">
      <x:c r="A13" s="86" t="str">
        <x:v>IP-009</x:v>
      </x:c>
      <x:c r="B13" s="86" t="str">
        <x:v>Owner supervision workflow</x:v>
      </x:c>
      <x:c r="C13" s="86" t="str">
        <x:v>Workflow / software</x:v>
      </x:c>
      <x:c r="D13" s="86" t="str">
        <x:v>Presence timers and unattended-dog reporting</x:v>
      </x:c>
      <x:c r="E13" s="86" t="str">
        <x:v>Prototype</x:v>
      </x:c>
      <x:c r="F13" s="86" t="str">
        <x:v>Document rationale and misuse controls</x:v>
      </x:c>
    </x:row>
    <x:row r="14" ht="34" customHeight="1">
      <x:c r="A14" s="86" t="str">
        <x:v>IP-010</x:v>
      </x:c>
      <x:c r="B14" s="86" t="str">
        <x:v>Live Animal Observation™</x:v>
      </x:c>
      <x:c r="C14" s="86" t="str">
        <x:v>Trade mark / workflow / software</x:v>
      </x:c>
      <x:c r="D14" s="86" t="str">
        <x:v>Distinct observation module</x:v>
      </x:c>
      <x:c r="E14" s="86" t="str">
        <x:v>Recorded concept</x:v>
      </x:c>
      <x:c r="F14" s="86" t="str">
        <x:v>Add to IP register and confirm branding/search strategy</x:v>
      </x:c>
    </x:row>
    <x:row r="15" ht="34" customHeight="1">
      <x:c r="A15" s="86" t="str">
        <x:v>IP-011</x:v>
      </x:c>
      <x:c r="B15" s="86" t="str">
        <x:v>Alert and escalation engine</x:v>
      </x:c>
      <x:c r="C15" s="86" t="str">
        <x:v>Software / workflow / know-how</x:v>
      </x:c>
      <x:c r="D15" s="86" t="str">
        <x:v>Green/yellow/amber/red/black prompts and escalation</x:v>
      </x:c>
      <x:c r="E15" s="86" t="str">
        <x:v>Cross-platform core</x:v>
      </x:c>
      <x:c r="F15" s="86" t="str">
        <x:v>Document implementation and standards mapping</x:v>
      </x:c>
    </x:row>
    <x:row r="16" ht="34" customHeight="1">
      <x:c r="A16" s="86" t="str">
        <x:v>IP-012</x:v>
      </x:c>
      <x:c r="B16" s="86" t="str">
        <x:v>Stock Sense</x:v>
      </x:c>
      <x:c r="C16" s="86" t="str">
        <x:v>Trade mark / software concept</x:v>
      </x:c>
      <x:c r="D16" s="86" t="str">
        <x:v>Inventory, expiry and low-stock intelligence</x:v>
      </x:c>
      <x:c r="E16" s="86" t="str">
        <x:v>Paused product</x:v>
      </x:c>
      <x:c r="F16" s="86" t="str">
        <x:v>Search/filing strategy; preserve code and specifications</x:v>
      </x:c>
    </x:row>
    <x:row r="17" ht="34" customHeight="1">
      <x:c r="A17" s="86" t="str">
        <x:v>IP-013</x:v>
      </x:c>
      <x:c r="B17" s="86" t="str">
        <x:v>Cats &amp; Dogs Care Command</x:v>
      </x:c>
      <x:c r="C17" s="86" t="str">
        <x:v>Software / workflow</x:v>
      </x:c>
      <x:c r="D17" s="86" t="str">
        <x:v>Kennel/cattery operational command system</x:v>
      </x:c>
      <x:c r="E17" s="86" t="str">
        <x:v>Paused prototype</x:v>
      </x:c>
      <x:c r="F17" s="86" t="str">
        <x:v>Preserve source, proposal and pilot measurements</x:v>
      </x:c>
    </x:row>
    <x:row r="18" ht="34" customHeight="1">
      <x:c r="A18" s="86" t="str">
        <x:v>IP-014</x:v>
      </x:c>
      <x:c r="B18" s="86" t="str">
        <x:v>Childcare safety workflow</x:v>
      </x:c>
      <x:c r="C18" s="86" t="str">
        <x:v>Software / workflow</x:v>
      </x:c>
      <x:c r="D18" s="86" t="str">
        <x:v>Childcare alert, escalation and accountability concept</x:v>
      </x:c>
      <x:c r="E18" s="86" t="str">
        <x:v>Paused prototype</x:v>
      </x:c>
      <x:c r="F18" s="86" t="str">
        <x:v>Separate child-safety/privacy review before development</x:v>
      </x:c>
    </x:row>
    <x:row r="19" ht="34" customHeight="1">
      <x:c r="A19" s="86" t="str">
        <x:v>IP-015</x:v>
      </x:c>
      <x:c r="B19" s="86" t="str">
        <x:v>Training, pilot and proposal materials</x:v>
      </x:c>
      <x:c r="C19" s="86" t="str">
        <x:v>Copyright</x:v>
      </x:c>
      <x:c r="D19" s="86" t="str">
        <x:v>Manuals, checklists, proposals, presentations and policies</x:v>
      </x:c>
      <x:c r="E19" s="86" t="str">
        <x:v>Ongoing</x:v>
      </x:c>
      <x:c r="F19" s="86" t="str">
        <x:v>Date/version each document; contractor IP assignments</x:v>
      </x:c>
    </x:row>
    <x:row r="20" ht="34" customHeight="1">
      <x:c r="A20" s="86" t="str">
        <x:v>IP-016</x:v>
      </x:c>
      <x:c r="B20" s="86" t="str">
        <x:v>Data schemas and audit structures</x:v>
      </x:c>
      <x:c r="C20" s="86" t="str">
        <x:v>Copyright / database / know-how</x:v>
      </x:c>
      <x:c r="D20" s="86" t="str">
        <x:v>Profiles, incidents, tasks, permissions and audit records</x:v>
      </x:c>
      <x:c r="E20" s="86" t="str">
        <x:v>Developing</x:v>
      </x:c>
      <x:c r="F20" s="86" t="str">
        <x:v>Document schema, access model and retention rules</x:v>
      </x:c>
    </x:row>
    <x:row r="21" ht="34" customHeight="1">
      <x:c r="A21" s="86" t="str">
        <x:v>IP-017</x:v>
      </x:c>
      <x:c r="B21" s="86" t="str">
        <x:v>Subscription architecture</x:v>
      </x:c>
      <x:c r="C21" s="86" t="str">
        <x:v>Commercial know-how</x:v>
      </x:c>
      <x:c r="D21" s="86" t="str">
        <x:v>Product IDs, concession and standard plan structure</x:v>
      </x:c>
      <x:c r="E21" s="86" t="str">
        <x:v>Prepared</x:v>
      </x:c>
      <x:c r="F21" s="86" t="str">
        <x:v>Protect configuration records; review concession evidence process</x:v>
      </x:c>
    </x:row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F1"/>
    <x:mergeCell ref="A2:F2"/>
  </x:mergeCells>
  <x:conditionalFormatting sqref="E5:E21">
    <x:cfRule type="expression" dxfId="16" priority="1">
      <x:formula>OR(ISNUMBER(SEARCH("ACTIVE",E5)),ISNUMBER(SEARCH("Complete",E5)),ISNUMBER(SEARCH("Prepared",E5)))</x:formula>
    </x:cfRule>
    <x:cfRule type="expression" dxfId="17" priority="2">
      <x:formula>ISNUMBER(SEARCH("Paused",E5))</x:formula>
    </x:cfRule>
    <x:cfRule type="expression" dxfId="18" priority="3">
      <x:formula>OR(ISNUMBER(SEARCH("Blocked",E5)),ISNUMBER(SEARCH("Urgent",E5)))</x:formula>
    </x:cfRule>
    <x:cfRule type="expression" dxfId="19" priority="4">
      <x:formula>OR(ISNUMBER(SEARCH("In Progress",E5)),ISNUMBER(SEARCH("Review",E5)))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5c09f2f82040e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26" hidden="0" customWidth="1"/>
    <x:col min="4" max="4" width="55" hidden="0" customWidth="1"/>
    <x:col min="5" max="5" width="24" hidden="0" customWidth="1"/>
    <x:col min="6" max="6" width="48" hidden="0" customWidth="1"/>
  </x:cols>
  <x:sheetData>
    <x:row r="1" ht="30" customHeight="1">
      <x:c r="A1" s="4" t="str">
        <x:v>Licensing Register</x:v>
      </x:c>
      <x:c r="B1" s="4"/>
      <x:c r="C1" s="4"/>
      <x:c r="D1" s="4"/>
      <x:c r="E1" s="4"/>
      <x:c r="F1" s="4"/>
    </x:row>
    <x:row r="2" ht="28" customHeight="1">
      <x:c r="A2" s="10" t="str">
        <x:v>Strategy and drafting record; no item is a signed commercial agreement unless specifically recorded.</x:v>
      </x:c>
      <x:c r="B2" s="10"/>
      <x:c r="C2" s="10"/>
      <x:c r="D2" s="10"/>
      <x:c r="E2" s="10"/>
      <x:c r="F2" s="10"/>
    </x:row>
    <x:row r="4" ht="28" customHeight="1">
      <x:c r="A4" s="155" t="str">
        <x:v>Record ID</x:v>
      </x:c>
      <x:c r="B4" s="155" t="str">
        <x:v>Item</x:v>
      </x:c>
      <x:c r="C4" s="155" t="str">
        <x:v>Scope</x:v>
      </x:c>
      <x:c r="D4" s="155" t="str">
        <x:v>Position</x:v>
      </x:c>
      <x:c r="E4" s="155" t="str">
        <x:v>Status</x:v>
      </x:c>
      <x:c r="F4" s="155" t="str">
        <x:v>Next Action</x:v>
      </x:c>
    </x:row>
    <x:row r="5" ht="34" customHeight="1">
      <x:c r="A5" s="86" t="str">
        <x:v>LIC-001</x:v>
      </x:c>
      <x:c r="B5" s="86" t="str">
        <x:v>Global master licensing model</x:v>
      </x:c>
      <x:c r="C5" s="86" t="str">
        <x:v>All ecosystem</x:v>
      </x:c>
      <x:c r="D5" s="86" t="str">
        <x:v>30% of licensee gross revenue target discussed; not a signed market term</x:v>
      </x:c>
      <x:c r="E5" s="86" t="str">
        <x:v>Strategy selected</x:v>
      </x:c>
      <x:c r="F5" s="86" t="str">
        <x:v>Obtain specialist licensing/tax/legal advice; define gross revenue and audit rights</x:v>
      </x:c>
    </x:row>
    <x:row r="6" ht="34" customHeight="1">
      <x:c r="A6" s="86" t="str">
        <x:v>LIC-002</x:v>
      </x:c>
      <x:c r="B6" s="86" t="str">
        <x:v>GENEVIEVE Global IP HoldCo</x:v>
      </x:c>
      <x:c r="C6" s="86" t="str">
        <x:v>All IP</x:v>
      </x:c>
      <x:c r="D6" s="86" t="str">
        <x:v>Planned 100%-owned IP holding structure</x:v>
      </x:c>
      <x:c r="E6" s="86" t="str">
        <x:v>Planned</x:v>
      </x:c>
      <x:c r="F6" s="86" t="str">
        <x:v>Obtain Australian corporate/tax advice before forming or transferring IP</x:v>
      </x:c>
    </x:row>
    <x:row r="7" ht="34" customHeight="1">
      <x:c r="A7" s="86" t="str">
        <x:v>LIC-003</x:v>
      </x:c>
      <x:c r="B7" s="86" t="str">
        <x:v>Regional master operators</x:v>
      </x:c>
      <x:c r="C7" s="86" t="str">
        <x:v>North America, EU/UK, Asia-Pacific</x:v>
      </x:c>
      <x:c r="D7" s="86" t="str">
        <x:v>Regional master licence concept</x:v>
      </x:c>
      <x:c r="E7" s="86" t="str">
        <x:v>Planned</x:v>
      </x:c>
      <x:c r="F7" s="86" t="str">
        <x:v>Draft qualification criteria, territory, milestones and termination rights</x:v>
      </x:c>
    </x:row>
    <x:row r="8" ht="34" customHeight="1">
      <x:c r="A8" s="86" t="str">
        <x:v>LIC-004</x:v>
      </x:c>
      <x:c r="B8" s="86" t="str">
        <x:v>NDA</x:v>
      </x:c>
      <x:c r="C8" s="86" t="str">
        <x:v>Potential partners</x:v>
      </x:c>
      <x:c r="D8" s="86" t="str">
        <x:v>Protect confidential demonstrations and documents</x:v>
      </x:c>
      <x:c r="E8" s="86" t="str">
        <x:v>Required / not finalised</x:v>
      </x:c>
      <x:c r="F8" s="86" t="str">
        <x:v>Prepare jurisdiction-appropriate NDA</x:v>
      </x:c>
    </x:row>
    <x:row r="9" ht="34" customHeight="1">
      <x:c r="A9" s="86" t="str">
        <x:v>LIC-005</x:v>
      </x:c>
      <x:c r="B9" s="86" t="str">
        <x:v>Master licence term sheet</x:v>
      </x:c>
      <x:c r="C9" s="86" t="str">
        <x:v>Potential licensees</x:v>
      </x:c>
      <x:c r="D9" s="86" t="str">
        <x:v>Commercial heads including field, territory, royalty and minimum performance</x:v>
      </x:c>
      <x:c r="E9" s="86" t="str">
        <x:v>Required / not finalised</x:v>
      </x:c>
      <x:c r="F9" s="86" t="str">
        <x:v>Draft after IP/legal structure review</x:v>
      </x:c>
    </x:row>
    <x:row r="10" ht="34" customHeight="1">
      <x:c r="A10" s="86" t="str">
        <x:v>LIC-006</x:v>
      </x:c>
      <x:c r="B10" s="86" t="str">
        <x:v>Pilot agreement</x:v>
      </x:c>
      <x:c r="C10" s="86" t="str">
        <x:v>Dog Park/council/business</x:v>
      </x:c>
      <x:c r="D10" s="86" t="str">
        <x:v>Controls scope, data, confidentiality, IP, risk and exit</x:v>
      </x:c>
      <x:c r="E10" s="86" t="str">
        <x:v>Drafting</x:v>
      </x:c>
      <x:c r="F10" s="86" t="str">
        <x:v>Create site-specific agreement before any operational pilot</x:v>
      </x:c>
    </x:row>
    <x:row r="11" ht="34" customHeight="1">
      <x:c r="A11" s="86" t="str">
        <x:v>LIC-007</x:v>
      </x:c>
      <x:c r="B11" s="86" t="str">
        <x:v>Feedback and improvements clause</x:v>
      </x:c>
      <x:c r="C11" s="86" t="str">
        <x:v>All pilots</x:v>
      </x:c>
      <x:c r="D11" s="86" t="str">
        <x:v>Defines ownership/licence of partner feedback and developed improvements</x:v>
      </x:c>
      <x:c r="E11" s="86" t="str">
        <x:v>Required</x:v>
      </x:c>
      <x:c r="F11" s="86" t="str">
        <x:v>Have lawyer draft; avoid accidental joint ownership</x:v>
      </x:c>
    </x:row>
    <x:row r="12" ht="34" customHeight="1">
      <x:c r="A12" s="86" t="str">
        <x:v>LIC-008</x:v>
      </x:c>
      <x:c r="B12" s="86" t="str">
        <x:v>Contractor IP assignment</x:v>
      </x:c>
      <x:c r="C12" s="86" t="str">
        <x:v>Developers/designers</x:v>
      </x:c>
      <x:c r="D12" s="86" t="str">
        <x:v>Assigns code/design/document rights and moral-rights consents where lawful</x:v>
      </x:c>
      <x:c r="E12" s="86" t="str">
        <x:v>Template required</x:v>
      </x:c>
      <x:c r="F12" s="86" t="str">
        <x:v>Execute before outside development work</x:v>
      </x:c>
    </x:row>
    <x:row r="13" ht="34" customHeight="1"/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F1"/>
    <x:mergeCell ref="A2:F2"/>
  </x:mergeCells>
  <x:conditionalFormatting sqref="E5:E12">
    <x:cfRule type="expression" dxfId="20" priority="1">
      <x:formula>OR(ISNUMBER(SEARCH("ACTIVE",E5)),ISNUMBER(SEARCH("Complete",E5)),ISNUMBER(SEARCH("Prepared",E5)))</x:formula>
    </x:cfRule>
    <x:cfRule type="expression" dxfId="21" priority="2">
      <x:formula>ISNUMBER(SEARCH("Paused",E5))</x:formula>
    </x:cfRule>
    <x:cfRule type="expression" dxfId="22" priority="3">
      <x:formula>OR(ISNUMBER(SEARCH("Blocked",E5)),ISNUMBER(SEARCH("Urgent",E5)))</x:formula>
    </x:cfRule>
    <x:cfRule type="expression" dxfId="23" priority="4">
      <x:formula>OR(ISNUMBER(SEARCH("In Progress",E5)),ISNUMBER(SEARCH("Review",E5)))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090c0e635c4f3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4" hidden="0" customWidth="1"/>
    <x:col min="3" max="3" width="16" hidden="0" customWidth="1"/>
    <x:col min="4" max="4" width="14" hidden="0" customWidth="1"/>
    <x:col min="5" max="5" width="38" hidden="0" customWidth="1"/>
    <x:col min="6" max="6" width="12" hidden="0" customWidth="1"/>
    <x:col min="7" max="7" width="44" hidden="0" customWidth="1"/>
    <x:col min="8" max="8" width="18" hidden="0" customWidth="1"/>
    <x:col min="9" max="9" width="42" hidden="0" customWidth="1"/>
  </x:cols>
  <x:sheetData>
    <x:row r="1" ht="30" customHeight="1">
      <x:c r="A1" s="4" t="str">
        <x:v>Subscription and Trial Setup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10" t="str">
        <x:v>One subscription group, one entitlement and a 30-day introductory trial for eligible new subscribers.</x:v>
      </x:c>
      <x:c r="B2" s="10"/>
      <x:c r="C2" s="10"/>
      <x:c r="D2" s="10"/>
      <x:c r="E2" s="10"/>
      <x:c r="F2" s="10"/>
      <x:c r="G2" s="10"/>
      <x:c r="H2" s="10"/>
      <x:c r="I2" s="10"/>
    </x:row>
    <x:row r="4" ht="28" customHeight="1">
      <x:c r="A4" s="155" t="str">
        <x:v>Product ID</x:v>
      </x:c>
      <x:c r="B4" s="155" t="str">
        <x:v>Plan Name</x:v>
      </x:c>
      <x:c r="C4" s="155" t="str">
        <x:v>Target Price AUD</x:v>
      </x:c>
      <x:c r="D4" s="155" t="str">
        <x:v>Period</x:v>
      </x:c>
      <x:c r="E4" s="155" t="str">
        <x:v>Audience</x:v>
      </x:c>
      <x:c r="F4" s="155" t="str">
        <x:v>Trial</x:v>
      </x:c>
      <x:c r="G4" s="155" t="str">
        <x:v>Conversion</x:v>
      </x:c>
      <x:c r="H4" s="155" t="str">
        <x:v>Store Status</x:v>
      </x:c>
      <x:c r="I4" s="155" t="str">
        <x:v>Next Action</x:v>
      </x:c>
    </x:row>
    <x:row r="5" ht="34" customHeight="1">
      <x:c r="A5" s="86" t="str">
        <x:v>genevieve_dogpark_standard_monthly</x:v>
      </x:c>
      <x:c r="B5" s="86" t="str">
        <x:v>Standard Monthly</x:v>
      </x:c>
      <x:c r="C5" s="162" t="n">
        <x:v>14.99</x:v>
      </x:c>
      <x:c r="D5" s="86" t="str">
        <x:v>1 month</x:v>
      </x:c>
      <x:c r="E5" s="86" t="str">
        <x:v>general</x:v>
      </x:c>
      <x:c r="F5" s="86" t="str">
        <x:v>30 days</x:v>
      </x:c>
      <x:c r="G5" s="86" t="str">
        <x:v>auto-renews unless cancelled before trial ends</x:v>
      </x:c>
      <x:c r="H5" s="86" t="str">
        <x:v>Not Created</x:v>
      </x:c>
      <x:c r="I5" s="86" t="str">
        <x:v>Create in Google Play / App Store Connect</x:v>
      </x:c>
    </x:row>
    <x:row r="6" ht="34" customHeight="1">
      <x:c r="A6" s="86" t="str">
        <x:v>genevieve_dogpark_concession_monthly</x:v>
      </x:c>
      <x:c r="B6" s="86" t="str">
        <x:v>Concession Monthly</x:v>
      </x:c>
      <x:c r="C6" s="162" t="n">
        <x:v>10.49</x:v>
      </x:c>
      <x:c r="D6" s="86" t="str">
        <x:v>1 month</x:v>
      </x:c>
      <x:c r="E6" s="86" t="str">
        <x:v>eligible concession users; verification process required</x:v>
      </x:c>
      <x:c r="F6" s="86" t="str">
        <x:v>30 days</x:v>
      </x:c>
      <x:c r="G6" s="86" t="str">
        <x:v>auto-renews unless cancelled before trial ends</x:v>
      </x:c>
      <x:c r="H6" s="86" t="str">
        <x:v>Not Created</x:v>
      </x:c>
      <x:c r="I6" s="86" t="str">
        <x:v>Create in Google Play / App Store Connect</x:v>
      </x:c>
    </x:row>
    <x:row r="7" ht="34" customHeight="1">
      <x:c r="A7" s="86" t="str">
        <x:v>genevieve_dogpark_standard_annual</x:v>
      </x:c>
      <x:c r="B7" s="86" t="str">
        <x:v>Standard Annual</x:v>
      </x:c>
      <x:c r="C7" s="162" t="n">
        <x:v>119.99</x:v>
      </x:c>
      <x:c r="D7" s="86" t="str">
        <x:v>1 year</x:v>
      </x:c>
      <x:c r="E7" s="86" t="str">
        <x:v>general</x:v>
      </x:c>
      <x:c r="F7" s="86" t="str">
        <x:v>30 days</x:v>
      </x:c>
      <x:c r="G7" s="86" t="str">
        <x:v>auto-renews unless cancelled before trial ends</x:v>
      </x:c>
      <x:c r="H7" s="86" t="str">
        <x:v>Not Created</x:v>
      </x:c>
      <x:c r="I7" s="86" t="str">
        <x:v>Create in Google Play / App Store Connect</x:v>
      </x:c>
    </x:row>
    <x:row r="8" ht="34" customHeight="1">
      <x:c r="A8" s="86" t="str">
        <x:v>genevieve_dogpark_concession_annual</x:v>
      </x:c>
      <x:c r="B8" s="86" t="str">
        <x:v>Concession Annual</x:v>
      </x:c>
      <x:c r="C8" s="162" t="n">
        <x:v>83</x:v>
      </x:c>
      <x:c r="D8" s="86" t="str">
        <x:v>1 year</x:v>
      </x:c>
      <x:c r="E8" s="86" t="str">
        <x:v>eligible concession users; verification process required</x:v>
      </x:c>
      <x:c r="F8" s="86" t="str">
        <x:v>30 days</x:v>
      </x:c>
      <x:c r="G8" s="86" t="str">
        <x:v>auto-renews unless cancelled before trial ends</x:v>
      </x:c>
      <x:c r="H8" s="86" t="str">
        <x:v>Not Created</x:v>
      </x:c>
      <x:c r="I8" s="86" t="str">
        <x:v>Create in Google Play / App Store Connect</x:v>
      </x:c>
    </x:row>
    <x:row r="9" ht="34" customHeight="1"/>
    <x:row r="10" ht="34" customHeight="1"/>
    <x:row r="11" ht="34" customHeight="1"/>
    <x:row r="12" ht="34" customHeight="1">
      <x:c r="A12" s="165" t="str">
        <x:v>Subscription group: GENEVIEVE Dog Park Membership | Entitlement: premium | Offering: default</x:v>
      </x:c>
      <x:c r="B12" s="165"/>
      <x:c r="C12" s="165"/>
      <x:c r="D12" s="165"/>
      <x:c r="E12" s="165"/>
      <x:c r="F12" s="165"/>
      <x:c r="G12" s="165"/>
      <x:c r="H12" s="165"/>
      <x:c r="I12" s="165"/>
    </x:row>
    <x:row r="13" ht="34" customHeight="1"/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I1"/>
    <x:mergeCell ref="A2:I2"/>
    <x:mergeCell ref="A12:I12"/>
  </x:mergeCells>
  <x:conditionalFormatting sqref="H5:H8">
    <x:cfRule type="expression" dxfId="24" priority="1">
      <x:formula>OR(ISNUMBER(SEARCH("ACTIVE",H5)),ISNUMBER(SEARCH("Complete",H5)),ISNUMBER(SEARCH("Prepared",H5)))</x:formula>
    </x:cfRule>
    <x:cfRule type="expression" dxfId="25" priority="2">
      <x:formula>ISNUMBER(SEARCH("Paused",H5))</x:formula>
    </x:cfRule>
    <x:cfRule type="expression" dxfId="26" priority="3">
      <x:formula>OR(ISNUMBER(SEARCH("Blocked",H5)),ISNUMBER(SEARCH("Urgent",H5)))</x:formula>
    </x:cfRule>
    <x:cfRule type="expression" dxfId="27" priority="4">
      <x:formula>OR(ISNUMBER(SEARCH("In Progress",H5)),ISNUMBER(SEARCH("Review",H5)))</x:formula>
    </x:cfRule>
  </x:conditionalFormatting>
  <x:dataValidations count="1">
    <x:dataValidation type="list" sqref="H5:H104">
      <x:formula1>"Not Created,Draft,Configured,Sandbox Tested,Live"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60fa5810a445a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22" hidden="0" customWidth="1"/>
    <x:col min="4" max="4" width="42" hidden="0" customWidth="1"/>
    <x:col min="5" max="5" width="32" hidden="0" customWidth="1"/>
    <x:col min="6" max="6" width="52" hidden="0" customWidth="1"/>
    <x:col min="7" max="7" width="15" hidden="0" customWidth="1"/>
    <x:col min="8" max="8" width="20" hidden="0" customWidth="1"/>
    <x:col min="9" max="9" width="42" hidden="0" customWidth="1"/>
  </x:cols>
  <x:sheetData>
    <x:row r="1" ht="30" customHeight="1">
      <x:c r="A1" s="4" t="str">
        <x:v>Master Test Cases</x:v>
      </x:c>
      <x:c r="B1" s="4"/>
      <x:c r="C1" s="4"/>
      <x:c r="D1" s="4"/>
      <x:c r="E1" s="4"/>
      <x:c r="F1" s="4"/>
    </x:row>
    <x:row r="2" ht="28" customHeight="1">
      <x:c r="A2" s="10" t="str">
        <x:v>Run critical tests first; do not launch while any critical test fails.</x:v>
      </x:c>
      <x:c r="B2" s="10"/>
      <x:c r="C2" s="10"/>
      <x:c r="D2" s="10"/>
      <x:c r="E2" s="10"/>
      <x:c r="F2" s="10"/>
    </x:row>
    <x:row r="4" ht="28" customHeight="1">
      <x:c r="A4" s="155" t="str">
        <x:v>Test ID</x:v>
      </x:c>
      <x:c r="B4" s="155" t="str">
        <x:v>Priority</x:v>
      </x:c>
      <x:c r="C4" s="155" t="str">
        <x:v>Area</x:v>
      </x:c>
      <x:c r="D4" s="155" t="str">
        <x:v>Test</x:v>
      </x:c>
      <x:c r="E4" s="155" t="str">
        <x:v>Precondition</x:v>
      </x:c>
      <x:c r="F4" s="155" t="str">
        <x:v>Expected result</x:v>
      </x:c>
      <x:c r="G4" s="155" t="str">
        <x:v>Result</x:v>
      </x:c>
      <x:c r="H4" s="155" t="str">
        <x:v>Tester</x:v>
      </x:c>
      <x:c r="I4" s="155" t="str">
        <x:v>Evidence / Defect</x:v>
      </x:c>
    </x:row>
    <x:row r="5" ht="34" customHeight="1">
      <x:c r="A5" s="86" t="str">
        <x:v>T001</x:v>
      </x:c>
      <x:c r="B5" s="86" t="str">
        <x:v>Critical</x:v>
      </x:c>
      <x:c r="C5" s="86" t="str">
        <x:v>Deployment</x:v>
      </x:c>
      <x:c r="D5" s="86" t="str">
        <x:v>Open production URL</x:v>
      </x:c>
      <x:c r="E5" s="86" t="str">
        <x:v>Public URL deployed</x:v>
      </x:c>
      <x:c r="F5" s="86" t="str">
        <x:v>Home page loads; no 404; HTTPS valid</x:v>
      </x:c>
      <x:c r="G5" s="86" t="str">
        <x:v>Not Run</x:v>
      </x:c>
      <x:c r="H5" s="86" t="str"/>
      <x:c r="I5" s="86" t="str"/>
    </x:row>
    <x:row r="6" ht="34" customHeight="1">
      <x:c r="A6" s="86" t="str">
        <x:v>T002</x:v>
      </x:c>
      <x:c r="B6" s="86" t="str">
        <x:v>Critical</x:v>
      </x:c>
      <x:c r="C6" s="86" t="str">
        <x:v>Legal</x:v>
      </x:c>
      <x:c r="D6" s="86" t="str">
        <x:v>Open Privacy link</x:v>
      </x:c>
      <x:c r="E6" s="86" t="str">
        <x:v>App/home page loaded</x:v>
      </x:c>
      <x:c r="F6" s="86" t="str">
        <x:v>Correct public Privacy page opens</x:v>
      </x:c>
      <x:c r="G6" s="86" t="str">
        <x:v>Not Run</x:v>
      </x:c>
      <x:c r="H6" s="86" t="str"/>
      <x:c r="I6" s="86" t="str"/>
    </x:row>
    <x:row r="7" ht="34" customHeight="1">
      <x:c r="A7" s="86" t="str">
        <x:v>T003</x:v>
      </x:c>
      <x:c r="B7" s="86" t="str">
        <x:v>Critical</x:v>
      </x:c>
      <x:c r="C7" s="86" t="str">
        <x:v>Legal</x:v>
      </x:c>
      <x:c r="D7" s="86" t="str">
        <x:v>Open Account Deletion link</x:v>
      </x:c>
      <x:c r="E7" s="86" t="str">
        <x:v>App/home page loaded</x:v>
      </x:c>
      <x:c r="F7" s="86" t="str">
        <x:v>Direct deletion instructions/form opens</x:v>
      </x:c>
      <x:c r="G7" s="86" t="str">
        <x:v>Not Run</x:v>
      </x:c>
      <x:c r="H7" s="86" t="str"/>
      <x:c r="I7" s="86" t="str"/>
    </x:row>
    <x:row r="8" ht="34" customHeight="1">
      <x:c r="A8" s="86" t="str">
        <x:v>T004</x:v>
      </x:c>
      <x:c r="B8" s="86" t="str">
        <x:v>Critical</x:v>
      </x:c>
      <x:c r="C8" s="86" t="str">
        <x:v>Brand</x:v>
      </x:c>
      <x:c r="D8" s="86" t="str">
        <x:v>Search visible content and code for Bruno</x:v>
      </x:c>
      <x:c r="E8" s="86" t="str">
        <x:v>Current build</x:v>
      </x:c>
      <x:c r="F8" s="86" t="str">
        <x:v>No Bruno references; approved Mr Gruff/neutral text only</x:v>
      </x:c>
      <x:c r="G8" s="86" t="str">
        <x:v>Not Run</x:v>
      </x:c>
      <x:c r="H8" s="86" t="str"/>
      <x:c r="I8" s="86" t="str"/>
    </x:row>
    <x:row r="9" ht="34" customHeight="1">
      <x:c r="A9" s="86" t="str">
        <x:v>T005</x:v>
      </x:c>
      <x:c r="B9" s="86" t="str">
        <x:v>High</x:v>
      </x:c>
      <x:c r="C9" s="86" t="str">
        <x:v>Brand</x:v>
      </x:c>
      <x:c r="D9" s="86" t="str">
        <x:v>Inspect logo on phone and desktop</x:v>
      </x:c>
      <x:c r="E9" s="86" t="str">
        <x:v>Approved source asset present</x:v>
      </x:c>
      <x:c r="F9" s="86" t="str">
        <x:v>Exact GA logo proportions and colours preserved</x:v>
      </x:c>
      <x:c r="G9" s="86" t="str">
        <x:v>Not Run</x:v>
      </x:c>
      <x:c r="H9" s="86" t="str"/>
      <x:c r="I9" s="86" t="str"/>
    </x:row>
    <x:row r="10" ht="34" customHeight="1">
      <x:c r="A10" s="86" t="str">
        <x:v>T006</x:v>
      </x:c>
      <x:c r="B10" s="86" t="str">
        <x:v>Critical</x:v>
      </x:c>
      <x:c r="C10" s="86" t="str">
        <x:v>Billing</x:v>
      </x:c>
      <x:c r="D10" s="86" t="str">
        <x:v>Start Standard Monthly trial</x:v>
      </x:c>
      <x:c r="E10" s="86" t="str">
        <x:v>Eligible test user</x:v>
      </x:c>
      <x:c r="F10" s="86" t="str">
        <x:v>Shows A$14.99/month after 30 days; correct store sheet opens</x:v>
      </x:c>
      <x:c r="G10" s="86" t="str">
        <x:v>Not Run</x:v>
      </x:c>
      <x:c r="H10" s="86" t="str"/>
      <x:c r="I10" s="86" t="str"/>
    </x:row>
    <x:row r="11" ht="34" customHeight="1">
      <x:c r="A11" s="86" t="str">
        <x:v>T007</x:v>
      </x:c>
      <x:c r="B11" s="86" t="str">
        <x:v>Critical</x:v>
      </x:c>
      <x:c r="C11" s="86" t="str">
        <x:v>Billing</x:v>
      </x:c>
      <x:c r="D11" s="86" t="str">
        <x:v>Cancel during trial</x:v>
      </x:c>
      <x:c r="E11" s="86" t="str">
        <x:v>Active test trial</x:v>
      </x:c>
      <x:c r="F11" s="86" t="str">
        <x:v>No paid renewal; access ends according to store terms</x:v>
      </x:c>
      <x:c r="G11" s="86" t="str">
        <x:v>Not Run</x:v>
      </x:c>
      <x:c r="H11" s="86" t="str"/>
      <x:c r="I11" s="86" t="str"/>
    </x:row>
    <x:row r="12" ht="34" customHeight="1">
      <x:c r="A12" s="86" t="str">
        <x:v>T008</x:v>
      </x:c>
      <x:c r="B12" s="86" t="str">
        <x:v>Critical</x:v>
      </x:c>
      <x:c r="C12" s="86" t="str">
        <x:v>Billing</x:v>
      </x:c>
      <x:c r="D12" s="86" t="str">
        <x:v>Restore purchase</x:v>
      </x:c>
      <x:c r="E12" s="86" t="str">
        <x:v>Previously subscribed account</x:v>
      </x:c>
      <x:c r="F12" s="86" t="str">
        <x:v>Premium entitlement restores without second purchase</x:v>
      </x:c>
      <x:c r="G12" s="86" t="str">
        <x:v>Not Run</x:v>
      </x:c>
      <x:c r="H12" s="86" t="str"/>
      <x:c r="I12" s="86" t="str"/>
    </x:row>
    <x:row r="13" ht="34" customHeight="1">
      <x:c r="A13" s="86" t="str">
        <x:v>T009</x:v>
      </x:c>
      <x:c r="B13" s="86" t="str">
        <x:v>Critical</x:v>
      </x:c>
      <x:c r="C13" s="86" t="str">
        <x:v>Account</x:v>
      </x:c>
      <x:c r="D13" s="86" t="str">
        <x:v>Delete account in app</x:v>
      </x:c>
      <x:c r="E13" s="86" t="str">
        <x:v>Logged-in test account</x:v>
      </x:c>
      <x:c r="F13" s="86" t="str">
        <x:v>Deletion initiates; associated data handled as disclosed</x:v>
      </x:c>
      <x:c r="G13" s="86" t="str">
        <x:v>Not Run</x:v>
      </x:c>
      <x:c r="H13" s="86" t="str"/>
      <x:c r="I13" s="86" t="str"/>
    </x:row>
    <x:row r="14" ht="34" customHeight="1">
      <x:c r="A14" s="86" t="str">
        <x:v>T010</x:v>
      </x:c>
      <x:c r="B14" s="86" t="str">
        <x:v>Critical</x:v>
      </x:c>
      <x:c r="C14" s="86" t="str">
        <x:v>Privacy</x:v>
      </x:c>
      <x:c r="D14" s="86" t="str">
        <x:v>Attempt cross-account dog access</x:v>
      </x:c>
      <x:c r="E14" s="86" t="str">
        <x:v>Two test accounts</x:v>
      </x:c>
      <x:c r="F14" s="86" t="str">
        <x:v>Private dog data cannot be accessed by other account</x:v>
      </x:c>
      <x:c r="G14" s="86" t="str">
        <x:v>Not Run</x:v>
      </x:c>
      <x:c r="H14" s="86" t="str"/>
      <x:c r="I14" s="86" t="str"/>
    </x:row>
    <x:row r="15" ht="34" customHeight="1">
      <x:c r="A15" s="86" t="str">
        <x:v>T011</x:v>
      </x:c>
      <x:c r="B15" s="86" t="str">
        <x:v>High</x:v>
      </x:c>
      <x:c r="C15" s="86" t="str">
        <x:v>Dog profile</x:v>
      </x:c>
      <x:c r="D15" s="86" t="str">
        <x:v>Create and edit Mr Gruff profile</x:v>
      </x:c>
      <x:c r="E15" s="86" t="str">
        <x:v>Logged-in account</x:v>
      </x:c>
      <x:c r="F15" s="86" t="str">
        <x:v>All approved details save and display correctly</x:v>
      </x:c>
      <x:c r="G15" s="86" t="str">
        <x:v>Not Run</x:v>
      </x:c>
      <x:c r="H15" s="86" t="str"/>
      <x:c r="I15" s="86" t="str"/>
    </x:row>
    <x:row r="16" ht="34" customHeight="1">
      <x:c r="A16" s="86" t="str">
        <x:v>T012</x:v>
      </x:c>
      <x:c r="B16" s="86" t="str">
        <x:v>High</x:v>
      </x:c>
      <x:c r="C16" s="86" t="str">
        <x:v>Check-in</x:v>
      </x:c>
      <x:c r="D16" s="86" t="str">
        <x:v>Check in and check out</x:v>
      </x:c>
      <x:c r="E16" s="86" t="str">
        <x:v>Dog and park selected</x:v>
      </x:c>
      <x:c r="F16" s="86" t="str">
        <x:v>Status, counts and audit event update correctly</x:v>
      </x:c>
      <x:c r="G16" s="86" t="str">
        <x:v>Not Run</x:v>
      </x:c>
      <x:c r="H16" s="86" t="str"/>
      <x:c r="I16" s="86" t="str"/>
    </x:row>
    <x:row r="17" ht="34" customHeight="1">
      <x:c r="A17" s="86" t="str">
        <x:v>T013</x:v>
      </x:c>
      <x:c r="B17" s="86" t="str">
        <x:v>High</x:v>
      </x:c>
      <x:c r="C17" s="86" t="str">
        <x:v>Alerts</x:v>
      </x:c>
      <x:c r="D17" s="86" t="str">
        <x:v>Set needs-space status</x:v>
      </x:c>
      <x:c r="E17" s="86" t="str">
        <x:v>Dog checked in</x:v>
      </x:c>
      <x:c r="F17" s="86" t="str">
        <x:v>Anonymous space flag updates; private details remain hidden</x:v>
      </x:c>
      <x:c r="G17" s="86" t="str">
        <x:v>Not Run</x:v>
      </x:c>
      <x:c r="H17" s="86" t="str"/>
      <x:c r="I17" s="86" t="str"/>
    </x:row>
    <x:row r="18" ht="34" customHeight="1">
      <x:c r="A18" s="86" t="str">
        <x:v>T014</x:v>
      </x:c>
      <x:c r="B18" s="86" t="str">
        <x:v>High</x:v>
      </x:c>
      <x:c r="C18" s="86" t="str">
        <x:v>Owner duty</x:v>
      </x:c>
      <x:c r="D18" s="86" t="str">
        <x:v>Let supervision timer expire</x:v>
      </x:c>
      <x:c r="E18" s="86" t="str">
        <x:v>Timer started</x:v>
      </x:c>
      <x:c r="F18" s="86" t="str">
        <x:v>Clear red alert and safe action shown</x:v>
      </x:c>
      <x:c r="G18" s="86" t="str">
        <x:v>Not Run</x:v>
      </x:c>
      <x:c r="H18" s="86" t="str"/>
      <x:c r="I18" s="86" t="str"/>
    </x:row>
    <x:row r="19" ht="34" customHeight="1">
      <x:c r="A19" s="86" t="str">
        <x:v>T015</x:v>
      </x:c>
      <x:c r="B19" s="86" t="str">
        <x:v>High</x:v>
      </x:c>
      <x:c r="C19" s="86" t="str">
        <x:v>Suitability</x:v>
      </x:c>
      <x:c r="D19" s="86" t="str">
        <x:v>Use stale/unknown park data</x:v>
      </x:c>
      <x:c r="E19" s="86" t="str">
        <x:v>Park not verified</x:v>
      </x:c>
      <x:c r="F19" s="86" t="str">
        <x:v>App warns data is unverified; no safety guarantee</x:v>
      </x:c>
      <x:c r="G19" s="86" t="str">
        <x:v>Not Run</x:v>
      </x:c>
      <x:c r="H19" s="86" t="str"/>
      <x:c r="I19" s="86" t="str"/>
    </x:row>
    <x:row r="20" ht="34" customHeight="1">
      <x:c r="A20" s="86" t="str">
        <x:v>T016</x:v>
      </x:c>
      <x:c r="B20" s="86" t="str">
        <x:v>High</x:v>
      </x:c>
      <x:c r="C20" s="86" t="str">
        <x:v>Accessibility</x:v>
      </x:c>
      <x:c r="D20" s="86" t="str">
        <x:v>Increase text size to maximum</x:v>
      </x:c>
      <x:c r="E20" s="86" t="str">
        <x:v>Supported phone</x:v>
      </x:c>
      <x:c r="F20" s="86" t="str">
        <x:v>No clipping or unreachable controls</x:v>
      </x:c>
      <x:c r="G20" s="86" t="str">
        <x:v>Not Run</x:v>
      </x:c>
      <x:c r="H20" s="86" t="str"/>
      <x:c r="I20" s="86" t="str"/>
    </x:row>
    <x:row r="21" ht="34" customHeight="1">
      <x:c r="A21" s="86" t="str">
        <x:v>T017</x:v>
      </x:c>
      <x:c r="B21" s="86" t="str">
        <x:v>High</x:v>
      </x:c>
      <x:c r="C21" s="86" t="str">
        <x:v>Accessibility</x:v>
      </x:c>
      <x:c r="D21" s="86" t="str">
        <x:v>Use screen reader</x:v>
      </x:c>
      <x:c r="E21" s="86" t="str">
        <x:v>Supported phone</x:v>
      </x:c>
      <x:c r="F21" s="86" t="str">
        <x:v>Controls have meaningful labels and logical order</x:v>
      </x:c>
      <x:c r="G21" s="86" t="str">
        <x:v>Not Run</x:v>
      </x:c>
      <x:c r="H21" s="86" t="str"/>
      <x:c r="I21" s="86" t="str"/>
    </x:row>
    <x:row r="22" ht="34" customHeight="1">
      <x:c r="A22" s="86" t="str">
        <x:v>T018</x:v>
      </x:c>
      <x:c r="B22" s="86" t="str">
        <x:v>High</x:v>
      </x:c>
      <x:c r="C22" s="86" t="str">
        <x:v>Offline</x:v>
      </x:c>
      <x:c r="D22" s="86" t="str">
        <x:v>Lose network during use</x:v>
      </x:c>
      <x:c r="E22" s="86" t="str">
        <x:v>App open</x:v>
      </x:c>
      <x:c r="F22" s="86" t="str">
        <x:v>Fail-safe/offline message appears; no false live claim</x:v>
      </x:c>
      <x:c r="G22" s="86" t="str">
        <x:v>Not Run</x:v>
      </x:c>
      <x:c r="H22" s="86" t="str"/>
      <x:c r="I22" s="86" t="str"/>
    </x:row>
    <x:row r="23" ht="34" customHeight="1">
      <x:c r="A23" s="86" t="str">
        <x:v>T019</x:v>
      </x:c>
      <x:c r="B23" s="86" t="str">
        <x:v>High</x:v>
      </x:c>
      <x:c r="C23" s="86" t="str">
        <x:v>Security</x:v>
      </x:c>
      <x:c r="D23" s="86" t="str">
        <x:v>Repeated failed logins</x:v>
      </x:c>
      <x:c r="E23" s="86" t="str">
        <x:v>Login screen</x:v>
      </x:c>
      <x:c r="F23" s="86" t="str">
        <x:v>Rate limiting/lockout and logging work</x:v>
      </x:c>
      <x:c r="G23" s="86" t="str">
        <x:v>Not Run</x:v>
      </x:c>
      <x:c r="H23" s="86" t="str"/>
      <x:c r="I23" s="86" t="str"/>
    </x:row>
    <x:row r="24" ht="34" customHeight="1">
      <x:c r="A24" s="86" t="str">
        <x:v>T020</x:v>
      </x:c>
      <x:c r="B24" s="86" t="str">
        <x:v>Medium</x:v>
      </x:c>
      <x:c r="C24" s="86" t="str">
        <x:v>Support</x:v>
      </x:c>
      <x:c r="D24" s="86" t="str">
        <x:v>Send support request</x:v>
      </x:c>
      <x:c r="E24" s="86" t="str">
        <x:v>Support page</x:v>
      </x:c>
      <x:c r="F24" s="86" t="str">
        <x:v>Request reaches monitored address and acknowledgement is sent</x:v>
      </x:c>
      <x:c r="G24" s="86" t="str">
        <x:v>Not Run</x:v>
      </x:c>
      <x:c r="H24" s="86" t="str"/>
      <x:c r="I24" s="86" t="str"/>
    </x:row>
    <x:row r="25" ht="34" customHeight="1">
      <x:c r="G25" t="str">
        <x:v>Not Run</x:v>
      </x:c>
      <x:c r="H25" t="str"/>
      <x:c r="I25" t="str"/>
    </x:row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F1"/>
    <x:mergeCell ref="A2:F2"/>
  </x:mergeCells>
  <x:conditionalFormatting sqref="B5:B24">
    <x:cfRule type="expression" dxfId="28" priority="1">
      <x:formula>OR(B5="Urgent",B5="Critical")</x:formula>
    </x:cfRule>
    <x:cfRule type="expression" dxfId="29" priority="2">
      <x:formula>B5="High"</x:formula>
    </x:cfRule>
  </x:conditionalFormatting>
  <x:conditionalFormatting sqref="G5:G24">
    <x:cfRule type="expression" dxfId="30" priority="3">
      <x:formula>G5="Pass"</x:formula>
    </x:cfRule>
    <x:cfRule type="expression" dxfId="31" priority="4">
      <x:formula>G5="Fail"</x:formula>
    </x:cfRule>
    <x:cfRule type="expression" dxfId="32" priority="5">
      <x:formula>G5="Blocked"</x:formula>
    </x:cfRule>
  </x:conditionalFormatting>
  <x:dataValidations count="2">
    <x:dataValidation type="list" sqref="B5:B104">
      <x:formula1>"Critical,High,Medium,Low"</x:formula1>
    </x:dataValidation>
    <x:dataValidation type="list" sqref="G5:G24">
      <x:formula1>"Not Run,Pass,Fail,Blocked,Not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6a83cba4ea4def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30" hidden="0" customWidth="1"/>
    <x:col min="4" max="4" width="55" hidden="0" customWidth="1"/>
    <x:col min="5" max="5" width="14" hidden="0" customWidth="1"/>
    <x:col min="6" max="6" width="14" hidden="0" customWidth="1"/>
    <x:col min="7" max="7" width="36" hidden="0" customWidth="1"/>
  </x:cols>
  <x:sheetData>
    <x:row r="1" ht="30" customHeight="1">
      <x:c r="A1" s="4" t="str">
        <x:v>Decisions Required from Tracey</x:v>
      </x:c>
      <x:c r="B1" s="4"/>
      <x:c r="C1" s="4"/>
      <x:c r="D1" s="4"/>
      <x:c r="E1" s="4"/>
      <x:c r="F1" s="4"/>
      <x:c r="G1" s="4"/>
    </x:row>
    <x:row r="2" ht="28" customHeight="1">
      <x:c r="A2" s="10" t="str">
        <x:v>Only these decisions should interrupt the Dog Park launch work.</x:v>
      </x:c>
      <x:c r="B2" s="10"/>
      <x:c r="C2" s="10"/>
      <x:c r="D2" s="10"/>
      <x:c r="E2" s="10"/>
      <x:c r="F2" s="10"/>
      <x:c r="G2" s="10"/>
    </x:row>
    <x:row r="4" ht="28" customHeight="1">
      <x:c r="A4" s="155" t="str">
        <x:v>Decision ID</x:v>
      </x:c>
      <x:c r="B4" s="155" t="str">
        <x:v>Category</x:v>
      </x:c>
      <x:c r="C4" s="155" t="str">
        <x:v>Decision</x:v>
      </x:c>
      <x:c r="D4" s="155" t="str">
        <x:v>Reason / Detail</x:v>
      </x:c>
      <x:c r="E4" s="155" t="str">
        <x:v>Status</x:v>
      </x:c>
      <x:c r="F4" s="155" t="str">
        <x:v>Owner</x:v>
      </x:c>
      <x:c r="G4" s="155" t="str">
        <x:v>Decision / Date</x:v>
      </x:c>
    </x:row>
    <x:row r="5" ht="34" customHeight="1">
      <x:c r="A5" s="86" t="str">
        <x:v>D01</x:v>
      </x:c>
      <x:c r="B5" s="86" t="str">
        <x:v>Urgent</x:v>
      </x:c>
      <x:c r="C5" s="86" t="str">
        <x:v>Final website domain</x:v>
      </x:c>
      <x:c r="D5" s="86" t="str">
        <x:v>choose the single public domain to use for Google, Apple and legal URLs.</x:v>
      </x:c>
      <x:c r="E5" s="86" t="str">
        <x:v>Open</x:v>
      </x:c>
      <x:c r="F5" s="86" t="str">
        <x:v>Tracey</x:v>
      </x:c>
      <x:c r="G5" s="86" t="str"/>
    </x:row>
    <x:row r="6" ht="34" customHeight="1">
      <x:c r="A6" s="86" t="str">
        <x:v>D02</x:v>
      </x:c>
      <x:c r="B6" s="86" t="str">
        <x:v>Urgent</x:v>
      </x:c>
      <x:c r="C6" s="86" t="str">
        <x:v>Latest source ZIP</x:v>
      </x:c>
      <x:c r="D6" s="86" t="str">
        <x:v>identify/upload the exact final Dog Park source package so code fixes can be applied without rebuilding the wrong version.</x:v>
      </x:c>
      <x:c r="E6" s="86" t="str">
        <x:v>Open</x:v>
      </x:c>
      <x:c r="F6" s="86" t="str">
        <x:v>Tracey</x:v>
      </x:c>
      <x:c r="G6" s="86" t="str"/>
    </x:row>
    <x:row r="7" ht="34" customHeight="1">
      <x:c r="A7" s="86" t="str">
        <x:v>D03</x:v>
      </x:c>
      <x:c r="B7" s="86" t="str">
        <x:v>Urgent</x:v>
      </x:c>
      <x:c r="C7" s="86" t="str">
        <x:v>Production backend</x:v>
      </x:c>
      <x:c r="D7" s="86" t="str">
        <x:v>approve the technical provider after receiving a plain-English cost/security comparison.</x:v>
      </x:c>
      <x:c r="E7" s="86" t="str">
        <x:v>Open</x:v>
      </x:c>
      <x:c r="F7" s="86" t="str">
        <x:v>Tracey</x:v>
      </x:c>
      <x:c r="G7" s="86" t="str"/>
    </x:row>
    <x:row r="8" ht="34" customHeight="1">
      <x:c r="A8" s="86" t="str">
        <x:v>D04</x:v>
      </x:c>
      <x:c r="B8" s="86" t="str">
        <x:v>Urgent</x:v>
      </x:c>
      <x:c r="C8" s="86" t="str">
        <x:v>Public support contact</x:v>
      </x:c>
      <x:c r="D8" s="86" t="str">
        <x:v>choose the email, phone and business address that may be published in store listings and legal pages.</x:v>
      </x:c>
      <x:c r="E8" s="86" t="str">
        <x:v>Open</x:v>
      </x:c>
      <x:c r="F8" s="86" t="str">
        <x:v>Tracey</x:v>
      </x:c>
      <x:c r="G8" s="86" t="str"/>
    </x:row>
    <x:row r="9" ht="34" customHeight="1">
      <x:c r="A9" s="86" t="str">
        <x:v>D05</x:v>
      </x:c>
      <x:c r="B9" s="86" t="str">
        <x:v>Urgent</x:v>
      </x:c>
      <x:c r="C9" s="86" t="str">
        <x:v>Concession eligibility</x:v>
      </x:c>
      <x:c r="D9" s="86" t="str">
        <x:v>decide who qualifies and what minimal evidence, if any, will be required.</x:v>
      </x:c>
      <x:c r="E9" s="86" t="str">
        <x:v>Open</x:v>
      </x:c>
      <x:c r="F9" s="86" t="str">
        <x:v>Tracey</x:v>
      </x:c>
      <x:c r="G9" s="86" t="str"/>
    </x:row>
    <x:row r="10" ht="34" customHeight="1">
      <x:c r="A10" s="86" t="str">
        <x:v>D06</x:v>
      </x:c>
      <x:c r="B10" s="86" t="str">
        <x:v>Urgent</x:v>
      </x:c>
      <x:c r="C10" s="86" t="str">
        <x:v>Public launch order</x:v>
      </x:c>
      <x:c r="D10" s="86" t="str">
        <x:v>recommended order is web beta → Google closed test → Google production → Apple TestFlight → Apple production.</x:v>
      </x:c>
      <x:c r="E10" s="86" t="str">
        <x:v>Open</x:v>
      </x:c>
      <x:c r="F10" s="86" t="str">
        <x:v>Tracey</x:v>
      </x:c>
      <x:c r="G10" s="86" t="str"/>
    </x:row>
    <x:row r="11" ht="34" customHeight="1"/>
    <x:row r="12" ht="34" customHeight="1"/>
    <x:row r="13" ht="34" customHeight="1"/>
    <x:row r="14" ht="34" customHeight="1"/>
    <x:row r="15" ht="34" customHeight="1"/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G1"/>
    <x:mergeCell ref="A2:G2"/>
  </x:mergeCells>
  <x:conditionalFormatting sqref="E5:E10">
    <x:cfRule type="expression" dxfId="33" priority="1">
      <x:formula>OR(ISNUMBER(SEARCH("ACTIVE",E5)),ISNUMBER(SEARCH("Complete",E5)),ISNUMBER(SEARCH("Prepared",E5)))</x:formula>
    </x:cfRule>
    <x:cfRule type="expression" dxfId="34" priority="2">
      <x:formula>ISNUMBER(SEARCH("Paused",E5))</x:formula>
    </x:cfRule>
    <x:cfRule type="expression" dxfId="35" priority="3">
      <x:formula>OR(ISNUMBER(SEARCH("Blocked",E5)),ISNUMBER(SEARCH("Urgent",E5)))</x:formula>
    </x:cfRule>
    <x:cfRule type="expression" dxfId="36" priority="4">
      <x:formula>OR(ISNUMBER(SEARCH("In Progress",E5)),ISNUMBER(SEARCH("Review",E5)))</x:formula>
    </x:cfRule>
  </x:conditionalFormatting>
  <x:dataValidations count="2">
    <x:dataValidation type="list" sqref="E5:E104">
      <x:formula1>"Open,In Review,Decided,Deferred"</x:formula1>
    </x:dataValidation>
    <x:dataValidation type="list" sqref="F5:F104">
      <x:formula1>"Tracey,Technical,Legal/Privacy,Store/Payments"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1c5e0c31e949a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52" hidden="0" customWidth="1"/>
    <x:col min="2" max="2" width="90" hidden="0" customWidth="1"/>
  </x:cols>
  <x:sheetData>
    <x:row r="1" ht="30" customHeight="1">
      <x:c r="A1" s="4" t="str">
        <x:v>Primary Compliance Sources</x:v>
      </x:c>
      <x:c r="B1" s="4"/>
    </x:row>
    <x:row r="2" ht="28" customHeight="1">
      <x:c r="A2" s="10" t="str">
        <x:v>Official starting points used for legal and store drafts. Final advice must reflect actual implementation.</x:v>
      </x:c>
      <x:c r="B2" s="10"/>
    </x:row>
    <x:row r="4" ht="28" customHeight="1">
      <x:c r="A4" s="155" t="str">
        <x:v>Source</x:v>
      </x:c>
      <x:c r="B4" s="155" t="str">
        <x:v>URL</x:v>
      </x:c>
    </x:row>
    <x:row r="5" ht="34" customHeight="1">
      <x:c r="A5" s="86" t="str">
        <x:v>Google Play Payments policy</x:v>
      </x:c>
      <x:c r="B5" s="168" t="str">
        <x:v>https://support.google.com/googleplay/android-developer/answer/9858738</x:v>
      </x:c>
    </x:row>
    <x:row r="6" ht="34" customHeight="1">
      <x:c r="A6" s="86" t="str">
        <x:v>Google Play subscriptions policy and free-trial/cancellation disclosure</x:v>
      </x:c>
      <x:c r="B6" s="168" t="str">
        <x:v>https://support.google.com/googleplay/android-developer/answer/17105854</x:v>
      </x:c>
    </x:row>
    <x:row r="7" ht="34" customHeight="1">
      <x:c r="A7" s="86" t="str">
        <x:v>Google Play account deletion requirements</x:v>
      </x:c>
      <x:c r="B7" s="168" t="str">
        <x:v>https://support.google.com/googleplay/android-developer/answer/13327111</x:v>
      </x:c>
    </x:row>
    <x:row r="8" ht="34" customHeight="1">
      <x:c r="A8" s="86" t="str">
        <x:v>Google Play store listing limits</x:v>
      </x:c>
      <x:c r="B8" s="168" t="str">
        <x:v>https://support.google.com/googleplay/android-developer/answer/9859152</x:v>
      </x:c>
    </x:row>
    <x:row r="9" ht="34" customHeight="1">
      <x:c r="A9" s="86" t="str">
        <x:v>Apple App Review Guidelines</x:v>
      </x:c>
      <x:c r="B9" s="168" t="str">
        <x:v>https://developer.apple.com/app-store/review/guidelines/</x:v>
      </x:c>
    </x:row>
    <x:row r="10" ht="34" customHeight="1">
      <x:c r="A10" s="86" t="str">
        <x:v>Apple account deletion guidance</x:v>
      </x:c>
      <x:c r="B10" s="168" t="str">
        <x:v>https://developer.apple.com/support/offering-account-deletion-in-your-app/</x:v>
      </x:c>
    </x:row>
    <x:row r="11" ht="34" customHeight="1">
      <x:c r="A11" s="86" t="str">
        <x:v>Apple App Privacy details</x:v>
      </x:c>
      <x:c r="B11" s="168" t="str">
        <x:v>https://developer.apple.com/app-store/app-privacy-details/</x:v>
      </x:c>
    </x:row>
    <x:row r="12" ht="34" customHeight="1">
      <x:c r="A12" s="86" t="str">
        <x:v>Apple App Store Connect app information</x:v>
      </x:c>
      <x:c r="B12" s="168" t="str">
        <x:v>https://developer.apple.com/help/app-store-connect/reference/app-information/app-information/</x:v>
      </x:c>
    </x:row>
    <x:row r="13" ht="34" customHeight="1">
      <x:c r="A13" s="86" t="str">
        <x:v>OAIC Australian Privacy Principles</x:v>
      </x:c>
      <x:c r="B13" s="168" t="str">
        <x:v>https://www.oaic.gov.au/privacy/australian-privacy-principles</x:v>
      </x:c>
    </x:row>
    <x:row r="14" ht="34" customHeight="1">
      <x:c r="A14" s="86" t="str">
        <x:v>OAIC APP Guidelines updated 13 May 2026</x:v>
      </x:c>
      <x:c r="B14" s="168" t="str">
        <x:v>https://www.oaic.gov.au/privacy/australian-privacy-principles/australian-privacy-principles-guidelines</x:v>
      </x:c>
    </x:row>
    <x:row r="15" ht="34" customHeight="1">
      <x:c r="A15" s="86" t="str">
        <x:v>ACCC consumer rights and guarantees</x:v>
      </x:c>
      <x:c r="B15" s="168" t="str">
        <x:v>https://www.accc.gov.au/consumers/buying-products-and-services/consumer-rights-and-guarantees</x:v>
      </x:c>
    </x:row>
    <x:row r="16" ht="34" customHeight="1"/>
    <x:row r="17" ht="34" customHeight="1"/>
    <x:row r="18" ht="34" customHeight="1"/>
    <x:row r="19" ht="34" customHeight="1"/>
    <x:row r="20" ht="34" customHeight="1"/>
    <x:row r="21" ht="34" customHeight="1"/>
    <x:row r="22" ht="34" customHeight="1"/>
    <x:row r="23" ht="34" customHeight="1"/>
    <x:row r="24" ht="34" customHeight="1"/>
    <x:row r="25" ht="34" customHeight="1"/>
    <x:row r="26" ht="34" customHeight="1"/>
    <x:row r="27" ht="34" customHeight="1"/>
    <x:row r="28" ht="34" customHeight="1"/>
    <x:row r="29" ht="34" customHeight="1"/>
    <x:row r="30" ht="34" customHeight="1"/>
    <x:row r="31" ht="34" customHeight="1"/>
    <x:row r="32" ht="34" customHeight="1"/>
    <x:row r="33" ht="34" customHeight="1"/>
    <x:row r="34" ht="34" customHeight="1"/>
    <x:row r="35" ht="34" customHeight="1"/>
    <x:row r="36" ht="34" customHeight="1"/>
    <x:row r="37" ht="34" customHeight="1"/>
    <x:row r="38" ht="34" customHeight="1"/>
    <x:row r="39" ht="34" customHeight="1"/>
    <x:row r="40" ht="34" customHeight="1"/>
    <x:row r="41" ht="34" customHeight="1"/>
    <x:row r="42" ht="34" customHeight="1"/>
    <x:row r="43" ht="34" customHeight="1"/>
    <x:row r="44" ht="34" customHeight="1"/>
    <x:row r="45" ht="34" customHeight="1"/>
    <x:row r="46" ht="34" customHeight="1"/>
    <x:row r="47" ht="34" customHeight="1"/>
    <x:row r="48" ht="34" customHeight="1"/>
    <x:row r="49" ht="34" customHeight="1"/>
    <x:row r="50" ht="34" customHeight="1"/>
    <x:row r="51" ht="34" customHeight="1"/>
    <x:row r="52" ht="34" customHeight="1"/>
    <x:row r="53" ht="34" customHeight="1"/>
    <x:row r="54" ht="34" customHeight="1"/>
    <x:row r="55" ht="34" customHeight="1"/>
    <x:row r="56" ht="34" customHeight="1"/>
    <x:row r="57" ht="34" customHeight="1"/>
    <x:row r="58" ht="34" customHeight="1"/>
    <x:row r="59" ht="34" customHeight="1"/>
    <x:row r="60" ht="34" customHeight="1"/>
    <x:row r="61" ht="34" customHeight="1"/>
    <x:row r="62" ht="34" customHeight="1"/>
    <x:row r="63" ht="34" customHeight="1"/>
    <x:row r="64" ht="34" customHeight="1"/>
    <x:row r="65" ht="34" customHeight="1"/>
    <x:row r="66" ht="34" customHeight="1"/>
    <x:row r="67" ht="34" customHeight="1"/>
    <x:row r="68" ht="34" customHeight="1"/>
    <x:row r="69" ht="34" customHeight="1"/>
    <x:row r="70" ht="34" customHeight="1"/>
    <x:row r="71" ht="34" customHeight="1"/>
    <x:row r="72" ht="34" customHeight="1"/>
    <x:row r="73" ht="34" customHeight="1"/>
    <x:row r="74" ht="34" customHeight="1"/>
    <x:row r="75" ht="34" customHeight="1"/>
    <x:row r="76" ht="34" customHeight="1"/>
    <x:row r="77" ht="34" customHeight="1"/>
    <x:row r="78" ht="34" customHeight="1"/>
    <x:row r="79" ht="34" customHeight="1"/>
    <x:row r="80" ht="34" customHeight="1"/>
    <x:row r="81" ht="34" customHeight="1"/>
    <x:row r="82" ht="34" customHeight="1"/>
    <x:row r="83" ht="34" customHeight="1"/>
    <x:row r="84" ht="34" customHeight="1"/>
    <x:row r="85" ht="34" customHeight="1"/>
    <x:row r="86" ht="34" customHeight="1"/>
    <x:row r="87" ht="34" customHeight="1"/>
    <x:row r="88" ht="34" customHeight="1"/>
    <x:row r="89" ht="34" customHeight="1"/>
    <x:row r="90" ht="34" customHeight="1"/>
    <x:row r="91" ht="34" customHeight="1"/>
    <x:row r="92" ht="34" customHeight="1"/>
    <x:row r="93" ht="34" customHeight="1"/>
    <x:row r="94" ht="34" customHeight="1"/>
    <x:row r="95" ht="34" customHeight="1"/>
    <x:row r="96" ht="34" customHeight="1"/>
    <x:row r="97" ht="34" customHeight="1"/>
    <x:row r="98" ht="34" customHeight="1"/>
    <x:row r="99" ht="34" customHeight="1"/>
    <x:row r="100" ht="34" customHeight="1"/>
    <x:row r="101" ht="34" customHeight="1"/>
    <x:row r="102" ht="34" customHeight="1"/>
    <x:row r="103" ht="34" customHeight="1"/>
    <x:row r="104" ht="34" customHeight="1"/>
    <x:row r="105" ht="34" customHeight="1"/>
    <x:row r="106" ht="34" customHeight="1"/>
    <x:row r="107" ht="34" customHeight="1"/>
    <x:row r="108" ht="34" customHeight="1"/>
    <x:row r="109" ht="34" customHeight="1"/>
    <x:row r="110" ht="34" customHeight="1"/>
    <x:row r="111" ht="34" customHeight="1"/>
    <x:row r="112" ht="34" customHeight="1"/>
    <x:row r="113" ht="34" customHeight="1"/>
    <x:row r="114" ht="34" customHeight="1"/>
    <x:row r="115" ht="34" customHeight="1"/>
    <x:row r="116" ht="34" customHeight="1"/>
    <x:row r="117" ht="34" customHeight="1"/>
    <x:row r="118" ht="34" customHeight="1"/>
    <x:row r="119" ht="34" customHeight="1"/>
    <x:row r="120" ht="34" customHeight="1"/>
    <x:row r="121" ht="34" customHeight="1"/>
    <x:row r="122" ht="34" customHeight="1"/>
    <x:row r="123" ht="34" customHeight="1"/>
    <x:row r="124" ht="34" customHeight="1"/>
    <x:row r="125" ht="34" customHeight="1"/>
    <x:row r="126" ht="34" customHeight="1"/>
    <x:row r="127" ht="34" customHeight="1"/>
    <x:row r="128" ht="34" customHeight="1"/>
    <x:row r="129" ht="34" customHeight="1"/>
    <x:row r="130" ht="34" customHeight="1"/>
    <x:row r="131" ht="34" customHeight="1"/>
    <x:row r="132" ht="34" customHeight="1"/>
    <x:row r="133" ht="34" customHeight="1"/>
    <x:row r="134" ht="34" customHeight="1"/>
    <x:row r="135" ht="34" customHeight="1"/>
    <x:row r="136" ht="34" customHeight="1"/>
    <x:row r="137" ht="34" customHeight="1"/>
    <x:row r="138" ht="34" customHeight="1"/>
    <x:row r="139" ht="34" customHeight="1"/>
    <x:row r="140" ht="34" customHeight="1"/>
    <x:row r="141" ht="34" customHeight="1"/>
    <x:row r="142" ht="34" customHeight="1"/>
    <x:row r="143" ht="34" customHeight="1"/>
    <x:row r="144" ht="34" customHeight="1"/>
    <x:row r="145" ht="34" customHeight="1"/>
    <x:row r="146" ht="34" customHeight="1"/>
    <x:row r="147" ht="34" customHeight="1"/>
    <x:row r="148" ht="34" customHeight="1"/>
    <x:row r="149" ht="34" customHeight="1"/>
    <x:row r="150" ht="34" customHeight="1"/>
    <x:row r="151" ht="34" customHeight="1"/>
    <x:row r="152" ht="34" customHeight="1"/>
    <x:row r="153" ht="34" customHeight="1"/>
    <x:row r="154" ht="34" customHeight="1"/>
    <x:row r="155" ht="34" customHeight="1"/>
    <x:row r="156" ht="34" customHeight="1"/>
    <x:row r="157" ht="34" customHeight="1"/>
    <x:row r="158" ht="34" customHeight="1"/>
    <x:row r="159" ht="34" customHeight="1"/>
    <x:row r="160" ht="34" customHeight="1"/>
    <x:row r="161" ht="34" customHeight="1"/>
    <x:row r="162" ht="34" customHeight="1"/>
    <x:row r="163" ht="34" customHeight="1"/>
    <x:row r="164" ht="34" customHeight="1"/>
    <x:row r="165" ht="34" customHeight="1"/>
    <x:row r="166" ht="34" customHeight="1"/>
    <x:row r="167" ht="34" customHeight="1"/>
    <x:row r="168" ht="34" customHeight="1"/>
    <x:row r="169" ht="34" customHeight="1"/>
    <x:row r="170" ht="34" customHeight="1"/>
    <x:row r="171" ht="34" customHeight="1"/>
    <x:row r="172" ht="34" customHeight="1"/>
    <x:row r="173" ht="34" customHeight="1"/>
    <x:row r="174" ht="34" customHeight="1"/>
    <x:row r="175" ht="34" customHeight="1"/>
    <x:row r="176" ht="34" customHeight="1"/>
    <x:row r="177" ht="34" customHeight="1"/>
    <x:row r="178" ht="34" customHeight="1"/>
    <x:row r="179" ht="34" customHeight="1"/>
    <x:row r="180" ht="34" customHeight="1"/>
    <x:row r="181" ht="34" customHeight="1"/>
    <x:row r="182" ht="34" customHeight="1"/>
    <x:row r="183" ht="34" customHeight="1"/>
    <x:row r="184" ht="34" customHeight="1"/>
    <x:row r="185" ht="34" customHeight="1"/>
    <x:row r="186" ht="34" customHeight="1"/>
    <x:row r="187" ht="34" customHeight="1"/>
    <x:row r="188" ht="34" customHeight="1"/>
    <x:row r="189" ht="34" customHeight="1"/>
    <x:row r="190" ht="34" customHeight="1"/>
    <x:row r="191" ht="34" customHeight="1"/>
    <x:row r="192" ht="34" customHeight="1"/>
    <x:row r="193" ht="34" customHeight="1"/>
    <x:row r="194" ht="34" customHeight="1"/>
    <x:row r="195" ht="34" customHeight="1"/>
    <x:row r="196" ht="34" customHeight="1"/>
    <x:row r="197" ht="34" customHeight="1"/>
    <x:row r="198" ht="34" customHeight="1"/>
    <x:row r="199" ht="34" customHeight="1"/>
    <x:row r="200" ht="34" customHeight="1"/>
    <x:row r="201" ht="34" customHeight="1"/>
    <x:row r="202" ht="34" customHeight="1"/>
    <x:row r="203" ht="34" customHeight="1"/>
    <x:row r="204" ht="34" customHeight="1"/>
    <x:row r="205" ht="34" customHeight="1"/>
    <x:row r="206" ht="34" customHeight="1"/>
    <x:row r="207" ht="34" customHeight="1"/>
    <x:row r="208" ht="34" customHeight="1"/>
    <x:row r="209" ht="34" customHeight="1"/>
    <x:row r="210" ht="34" customHeight="1"/>
    <x:row r="211" ht="34" customHeight="1"/>
    <x:row r="212" ht="34" customHeight="1"/>
    <x:row r="213" ht="34" customHeight="1"/>
    <x:row r="214" ht="34" customHeight="1"/>
    <x:row r="215" ht="34" customHeight="1"/>
    <x:row r="216" ht="34" customHeight="1"/>
    <x:row r="217" ht="34" customHeight="1"/>
    <x:row r="218" ht="34" customHeight="1"/>
    <x:row r="219" ht="34" customHeight="1"/>
    <x:row r="220" ht="34" customHeight="1"/>
    <x:row r="221" ht="34" customHeight="1"/>
    <x:row r="222" ht="34" customHeight="1"/>
    <x:row r="223" ht="34" customHeight="1"/>
    <x:row r="224" ht="34" customHeight="1"/>
    <x:row r="225" ht="34" customHeight="1"/>
    <x:row r="226" ht="34" customHeight="1"/>
    <x:row r="227" ht="34" customHeight="1"/>
    <x:row r="228" ht="34" customHeight="1"/>
    <x:row r="229" ht="34" customHeight="1"/>
    <x:row r="230" ht="34" customHeight="1"/>
    <x:row r="231" ht="34" customHeight="1"/>
    <x:row r="232" ht="34" customHeight="1"/>
    <x:row r="233" ht="34" customHeight="1"/>
    <x:row r="234" ht="34" customHeight="1"/>
    <x:row r="235" ht="34" customHeight="1"/>
    <x:row r="236" ht="34" customHeight="1"/>
    <x:row r="237" ht="34" customHeight="1"/>
    <x:row r="238" ht="34" customHeight="1"/>
    <x:row r="239" ht="34" customHeight="1"/>
    <x:row r="240" ht="34" customHeight="1"/>
    <x:row r="241" ht="34" customHeight="1"/>
    <x:row r="242" ht="34" customHeight="1"/>
    <x:row r="243" ht="34" customHeight="1"/>
    <x:row r="244" ht="34" customHeight="1"/>
    <x:row r="245" ht="34" customHeight="1"/>
    <x:row r="246" ht="34" customHeight="1"/>
    <x:row r="247" ht="34" customHeight="1"/>
    <x:row r="248" ht="34" customHeight="1"/>
    <x:row r="249" ht="34" customHeight="1"/>
    <x:row r="250" ht="34" customHeight="1"/>
    <x:row r="251" ht="34" customHeight="1"/>
    <x:row r="252" ht="34" customHeight="1"/>
    <x:row r="253" ht="34" customHeight="1"/>
    <x:row r="254" ht="34" customHeight="1"/>
    <x:row r="255" ht="34" customHeight="1"/>
    <x:row r="256" ht="34" customHeight="1"/>
    <x:row r="257" ht="34" customHeight="1"/>
    <x:row r="258" ht="34" customHeight="1"/>
    <x:row r="259" ht="34" customHeight="1"/>
    <x:row r="260" ht="34" customHeight="1"/>
    <x:row r="261" ht="34" customHeight="1"/>
    <x:row r="262" ht="34" customHeight="1"/>
    <x:row r="263" ht="34" customHeight="1"/>
    <x:row r="264" ht="34" customHeight="1"/>
    <x:row r="265" ht="34" customHeight="1"/>
    <x:row r="266" ht="34" customHeight="1"/>
    <x:row r="267" ht="34" customHeight="1"/>
    <x:row r="268" ht="34" customHeight="1"/>
    <x:row r="269" ht="34" customHeight="1"/>
    <x:row r="270" ht="34" customHeight="1"/>
    <x:row r="271" ht="34" customHeight="1"/>
    <x:row r="272" ht="34" customHeight="1"/>
    <x:row r="273" ht="34" customHeight="1"/>
    <x:row r="274" ht="34" customHeight="1"/>
    <x:row r="275" ht="34" customHeight="1"/>
    <x:row r="276" ht="34" customHeight="1"/>
    <x:row r="277" ht="34" customHeight="1"/>
    <x:row r="278" ht="34" customHeight="1"/>
    <x:row r="279" ht="34" customHeight="1"/>
    <x:row r="280" ht="34" customHeight="1"/>
    <x:row r="281" ht="34" customHeight="1"/>
    <x:row r="282" ht="34" customHeight="1"/>
    <x:row r="283" ht="34" customHeight="1"/>
    <x:row r="284" ht="34" customHeight="1"/>
    <x:row r="285" ht="34" customHeight="1"/>
    <x:row r="286" ht="34" customHeight="1"/>
    <x:row r="287" ht="34" customHeight="1"/>
    <x:row r="288" ht="34" customHeight="1"/>
    <x:row r="289" ht="34" customHeight="1"/>
    <x:row r="290" ht="34" customHeight="1"/>
    <x:row r="291" ht="34" customHeight="1"/>
    <x:row r="292" ht="34" customHeight="1"/>
    <x:row r="293" ht="34" customHeight="1"/>
    <x:row r="294" ht="34" customHeight="1"/>
    <x:row r="295" ht="34" customHeight="1"/>
    <x:row r="296" ht="34" customHeight="1"/>
    <x:row r="297" ht="34" customHeight="1"/>
    <x:row r="298" ht="34" customHeight="1"/>
    <x:row r="299" ht="34" customHeight="1"/>
    <x:row r="300" ht="34" customHeight="1"/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8d9723e96c742a1"/>
  </x:tableParts>
</x:worksheet>
</file>